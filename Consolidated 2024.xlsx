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" sheetId="1" r:id="rId4"/>
    <sheet state="visible" name="Food" sheetId="2" r:id="rId5"/>
    <sheet state="visible" name="Housing" sheetId="3" r:id="rId6"/>
    <sheet state="visible" name="Employment" sheetId="4" r:id="rId7"/>
    <sheet state="visible" name="Education" sheetId="5" r:id="rId8"/>
    <sheet state="visible" name="Gender" sheetId="6" r:id="rId9"/>
    <sheet state="visible" name="Religious Freedom" sheetId="7" r:id="rId10"/>
    <sheet state="visible" name="Consolidated" sheetId="8" r:id="rId11"/>
    <sheet state="visible" name="Sheet2" sheetId="9" r:id="rId12"/>
    <sheet state="visible" name="Sheet1" sheetId="10" r:id="rId13"/>
  </sheets>
  <definedNames/>
  <calcPr/>
  <extLst>
    <ext uri="GoogleSheetsCustomDataVersion2">
      <go:sheetsCustomData xmlns:go="http://customooxmlschemas.google.com/" r:id="rId14" roundtripDataChecksum="lQ1W0KzNtiwY7daA11gX3hBf97TQFsiPPAMeOyLa4tk="/>
    </ext>
  </extLst>
</workbook>
</file>

<file path=xl/sharedStrings.xml><?xml version="1.0" encoding="utf-8"?>
<sst xmlns="http://schemas.openxmlformats.org/spreadsheetml/2006/main" count="4345" uniqueCount="554">
  <si>
    <t>% Basic Access</t>
  </si>
  <si>
    <t>Country Name</t>
  </si>
  <si>
    <t>ISO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</si>
  <si>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</si>
  <si>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</si>
  <si>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</si>
  <si>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</si>
  <si>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</si>
  <si>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</si>
  <si>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</si>
  <si>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</si>
  <si>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</si>
  <si>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</si>
  <si>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</si>
  <si>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</si>
  <si>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</si>
  <si>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</si>
  <si>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</si>
  <si>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</si>
  <si>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</si>
  <si>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</si>
  <si>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</si>
  <si>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</si>
  <si>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</si>
  <si>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</si>
  <si>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</si>
  <si>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</si>
  <si>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</si>
  <si>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</si>
  <si>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</si>
  <si>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</si>
  <si>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</si>
  <si>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</si>
  <si>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</si>
  <si>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</si>
  <si>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</si>
  <si>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</si>
  <si>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</si>
  <si>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</si>
  <si>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</si>
  <si>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</si>
  <si>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</si>
  <si>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</si>
  <si>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</si>
  <si>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</si>
  <si>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</si>
  <si>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</si>
  <si>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</si>
  <si>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</si>
  <si>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</si>
  <si>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</si>
  <si>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 (Plurinational State of)</t>
  </si>
  <si>
    <t>BOL</t>
  </si>
  <si>
    <t>Bonaire,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</si>
  <si>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</si>
  <si>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</si>
  <si>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</si>
  <si>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</si>
  <si>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</si>
  <si>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</si>
  <si>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</si>
  <si>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</si>
  <si>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</si>
  <si>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</si>
  <si>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</si>
  <si>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</si>
  <si>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</si>
  <si>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</si>
  <si>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</si>
  <si>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</si>
  <si>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</si>
  <si>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</si>
  <si>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</si>
  <si>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</si>
  <si>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</si>
  <si>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</si>
  <si>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</si>
  <si>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</si>
  <si>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</si>
  <si>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</si>
  <si>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</si>
  <si>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</si>
  <si>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</si>
  <si>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</si>
  <si>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</si>
  <si>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</si>
  <si>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</si>
  <si>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</si>
  <si>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</si>
  <si>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China, Hong Kong SAR</t>
  </si>
  <si>
    <t>HKG</t>
  </si>
  <si>
    <t>China, Macao SAR</t>
  </si>
  <si>
    <t>MAC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</si>
  <si>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</si>
  <si>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</si>
  <si>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</si>
  <si>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</si>
  <si>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</si>
  <si>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</si>
  <si>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</si>
  <si>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</si>
  <si>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</si>
  <si>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</si>
  <si>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</si>
  <si>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</si>
  <si>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</si>
  <si>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</si>
  <si>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</si>
  <si>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</si>
  <si>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</si>
  <si>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</si>
  <si>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</si>
  <si>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</si>
  <si>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</si>
  <si>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</si>
  <si>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Democratic People's Republic of Korea</t>
  </si>
  <si>
    <t>PRK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</si>
  <si>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</si>
  <si>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</si>
  <si>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</si>
  <si>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</si>
  <si>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</si>
  <si>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</si>
  <si>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</si>
  <si>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</si>
  <si>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</si>
  <si>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</si>
  <si>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</si>
  <si>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</si>
  <si>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</si>
  <si>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</si>
  <si>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</si>
  <si>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</si>
  <si>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</si>
  <si>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</si>
  <si>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</si>
  <si>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</si>
  <si>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</si>
  <si>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</si>
  <si>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</si>
  <si>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</si>
  <si>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</si>
  <si>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</si>
  <si>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 (Malvinas)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</si>
  <si>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</si>
  <si>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</si>
  <si>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</si>
  <si>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</si>
  <si>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</si>
  <si>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</si>
  <si>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</si>
  <si>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</si>
  <si>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</si>
  <si>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</si>
  <si>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</si>
  <si>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</si>
  <si>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</si>
  <si>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</si>
  <si>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</si>
  <si>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</si>
  <si>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</si>
  <si>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</si>
  <si>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</si>
  <si>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</si>
  <si>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</si>
  <si>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</si>
  <si>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</si>
  <si>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</si>
  <si>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</si>
  <si>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</si>
  <si>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</si>
  <si>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</si>
  <si>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</si>
  <si>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</si>
  <si>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</si>
  <si>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</si>
  <si>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</si>
  <si>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</si>
  <si>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</si>
  <si>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</si>
  <si>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</si>
  <si>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</si>
  <si>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</si>
  <si>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</si>
  <si>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</si>
  <si>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</si>
  <si>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</si>
  <si>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</si>
  <si>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</si>
  <si>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Holy See</t>
  </si>
  <si>
    <t>VAT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</si>
  <si>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</si>
  <si>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</si>
  <si>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</si>
  <si>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</si>
  <si>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</si>
  <si>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</si>
  <si>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</si>
  <si>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</si>
  <si>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</si>
  <si>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</si>
  <si>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</si>
  <si>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</si>
  <si>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</si>
  <si>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</si>
  <si>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</si>
  <si>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</si>
  <si>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</si>
  <si>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</si>
  <si>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</si>
  <si>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</si>
  <si>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</si>
  <si>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</si>
  <si>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</si>
  <si>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</si>
  <si>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</si>
  <si>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</si>
  <si>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</si>
  <si>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</si>
  <si>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</si>
  <si>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</si>
  <si>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</si>
  <si>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</si>
  <si>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</si>
  <si>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</si>
  <si>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</si>
  <si>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</si>
  <si>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</si>
  <si>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</si>
  <si>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</si>
  <si>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</si>
  <si>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</si>
  <si>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</si>
  <si>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</si>
  <si>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</si>
  <si>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</si>
  <si>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</si>
  <si>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</si>
  <si>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</si>
  <si>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</si>
  <si>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</si>
  <si>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</si>
  <si>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</si>
  <si>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</si>
  <si>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</si>
  <si>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</si>
  <si>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</si>
  <si>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</si>
  <si>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</si>
  <si>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</si>
  <si>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</si>
  <si>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</si>
  <si>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</si>
  <si>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</si>
  <si>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</si>
  <si>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</si>
  <si>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</si>
  <si>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</si>
  <si>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</si>
  <si>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</si>
  <si>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</si>
  <si>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</si>
  <si>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</si>
  <si>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</si>
  <si>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</si>
  <si>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</si>
  <si>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</si>
  <si>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</si>
  <si>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</si>
  <si>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</si>
  <si>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</si>
  <si>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 (Federated States of)</t>
  </si>
  <si>
    <t>FSM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</si>
  <si>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</si>
  <si>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</si>
  <si>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</si>
  <si>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</si>
  <si>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</si>
  <si>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</si>
  <si>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</si>
  <si>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</si>
  <si>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</si>
  <si>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</si>
  <si>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</si>
  <si>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</si>
  <si>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</si>
  <si>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</si>
  <si>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</si>
  <si>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</si>
  <si>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</si>
  <si>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</si>
  <si>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</si>
  <si>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</si>
  <si>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 (Kingdom of the)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</si>
  <si>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</si>
  <si>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</si>
  <si>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</si>
  <si>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</si>
  <si>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</si>
  <si>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</si>
  <si>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</si>
  <si>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</si>
  <si>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</si>
  <si>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</si>
  <si>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</si>
  <si>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</si>
  <si>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</si>
  <si>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</si>
  <si>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</si>
  <si>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</si>
  <si>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</si>
  <si>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</si>
  <si>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</si>
  <si>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</si>
  <si>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</si>
  <si>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</si>
  <si>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</si>
  <si>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</si>
  <si>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</si>
  <si>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</si>
  <si>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</si>
  <si>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</si>
  <si>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</si>
  <si>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</si>
  <si>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</si>
  <si>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</si>
  <si>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</si>
  <si>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</si>
  <si>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</si>
  <si>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</si>
  <si>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</si>
  <si>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</si>
  <si>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</si>
  <si>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</si>
  <si>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</si>
  <si>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</si>
  <si>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</si>
  <si>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Korea</t>
  </si>
  <si>
    <t>KOR</t>
  </si>
  <si>
    <t>Republic of Moldova</t>
  </si>
  <si>
    <t>MDA</t>
  </si>
  <si>
    <t>Réunion</t>
  </si>
  <si>
    <t>REU</t>
  </si>
  <si>
    <t>Romania</t>
  </si>
  <si>
    <t>ROU</t>
  </si>
  <si>
    <t>Russian Federation</t>
  </si>
  <si>
    <t>RUS</t>
  </si>
  <si>
    <t>Rwanda</t>
  </si>
  <si>
    <t>RWA</t>
  </si>
  <si>
    <t>Saint Barthelemy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</si>
  <si>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</si>
  <si>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</si>
  <si>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</si>
  <si>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</si>
  <si>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</si>
  <si>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</si>
  <si>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</si>
  <si>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 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</si>
  <si>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</si>
  <si>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</si>
  <si>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</si>
  <si>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</si>
  <si>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</si>
  <si>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</si>
  <si>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</si>
  <si>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</si>
  <si>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</si>
  <si>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</si>
  <si>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</si>
  <si>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</si>
  <si>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</si>
  <si>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</si>
  <si>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</si>
  <si>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</si>
  <si>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</si>
  <si>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</si>
  <si>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</si>
  <si>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</si>
  <si>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</si>
  <si>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</si>
  <si>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</si>
  <si>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</si>
  <si>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</si>
  <si>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</si>
  <si>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</si>
  <si>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</si>
  <si>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</si>
  <si>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</si>
  <si>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</si>
  <si>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</si>
  <si>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</si>
  <si>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</si>
  <si>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</si>
  <si>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</si>
  <si>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</si>
  <si>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</si>
  <si>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</si>
  <si>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</si>
  <si>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</si>
  <si>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State of Palestine</t>
  </si>
  <si>
    <t>PSE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</si>
  <si>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</si>
  <si>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</si>
  <si>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</si>
  <si>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</si>
  <si>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</si>
  <si>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</si>
  <si>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</si>
  <si>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</si>
  <si>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</si>
  <si>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</si>
  <si>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</si>
  <si>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</si>
  <si>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</si>
  <si>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</si>
  <si>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</si>
  <si>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</si>
  <si>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</si>
  <si>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</si>
  <si>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</si>
  <si>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</si>
  <si>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</si>
  <si>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</si>
  <si>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</si>
  <si>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</si>
  <si>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</si>
  <si>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</si>
  <si>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</si>
  <si>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</si>
  <si>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</si>
  <si>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</si>
  <si>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</si>
  <si>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</si>
  <si>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</si>
  <si>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</si>
  <si>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</si>
  <si>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</si>
  <si>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</si>
  <si>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</si>
  <si>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</si>
  <si>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</si>
  <si>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</si>
  <si>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</si>
  <si>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Republic of Tanzania</t>
  </si>
  <si>
    <t>TZA</t>
  </si>
  <si>
    <t>United States Virgin Islands</t>
  </si>
  <si>
    <t>VIR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</si>
  <si>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</si>
  <si>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</si>
  <si>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</si>
  <si>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</si>
  <si>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</si>
  <si>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</si>
  <si>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</si>
  <si>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</si>
  <si>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</si>
  <si>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</si>
  <si>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</si>
  <si>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</si>
  <si>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Wallis and Futuna Islands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</si>
  <si>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</si>
  <si>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</si>
  <si>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</si>
  <si>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</si>
  <si>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</si>
  <si>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</si>
  <si>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</si>
  <si>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</si>
  <si>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</si>
  <si>
    <t>Count</t>
  </si>
  <si>
    <t>% Undernourished</t>
  </si>
  <si>
    <t>China, mainland</t>
  </si>
  <si>
    <t>China, Taiwan Province of</t>
  </si>
  <si>
    <t>TWN</t>
  </si>
  <si>
    <t>Palestine</t>
  </si>
  <si>
    <t>United Kingdom of Great Britain and Northern Ireland</t>
  </si>
  <si>
    <t>Inadequate Housing % of Population</t>
  </si>
  <si>
    <t>count</t>
  </si>
  <si>
    <t>Distressed Labor Rate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</si>
  <si>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</si>
  <si>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</si>
  <si>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</si>
  <si>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</si>
  <si>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</si>
  <si>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</si>
  <si>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</si>
  <si>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</si>
  <si>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</si>
  <si>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Hong Kong, China</t>
  </si>
  <si>
    <t>Macao, China</t>
  </si>
  <si>
    <t>Taiwan, China</t>
  </si>
  <si>
    <t>Côte d’Ivoire</t>
  </si>
  <si>
    <t>Korea (the Democratic People's Republic of)</t>
  </si>
  <si>
    <t>Congo, Democratic Republic of the</t>
  </si>
  <si>
    <t>Netherlands</t>
  </si>
  <si>
    <t>Occupied Palestinian Territory</t>
  </si>
  <si>
    <t>Tanzania, United Republic of</t>
  </si>
  <si>
    <t>Adult Literacy Rate</t>
  </si>
  <si>
    <t>Country Code</t>
  </si>
  <si>
    <t>COUNT</t>
  </si>
  <si>
    <t>Gender Index</t>
  </si>
  <si>
    <t>Country ISO</t>
  </si>
  <si>
    <t/>
  </si>
  <si>
    <t>Government Restriction Index</t>
  </si>
  <si>
    <t>COUNTRY</t>
  </si>
  <si>
    <t>ISO CODE</t>
  </si>
  <si>
    <t>GRI 2013</t>
  </si>
  <si>
    <t>GRI 2014</t>
  </si>
  <si>
    <t>GRI 2015</t>
  </si>
  <si>
    <t>GRI 2016</t>
  </si>
  <si>
    <t>GRI 2017</t>
  </si>
  <si>
    <t>GRI 2018</t>
  </si>
  <si>
    <t>GRI 2019</t>
  </si>
  <si>
    <t>GRI 2020</t>
  </si>
  <si>
    <t>GRI 2021</t>
  </si>
  <si>
    <t>Bolivia</t>
  </si>
  <si>
    <t>Bosnia-Herzegovina</t>
  </si>
  <si>
    <t>Brunei</t>
  </si>
  <si>
    <t>Cape Verde</t>
  </si>
  <si>
    <t>Czech Republic</t>
  </si>
  <si>
    <t>Federated States of Micronesia</t>
  </si>
  <si>
    <t>Hong Kong</t>
  </si>
  <si>
    <t>Iran</t>
  </si>
  <si>
    <t>Ivory Coast</t>
  </si>
  <si>
    <t>Kosovo</t>
  </si>
  <si>
    <t>XKX</t>
  </si>
  <si>
    <t>Laos</t>
  </si>
  <si>
    <t>Macao</t>
  </si>
  <si>
    <t>Moldova</t>
  </si>
  <si>
    <t>Palestinian territories</t>
  </si>
  <si>
    <t>Republic of the Congo</t>
  </si>
  <si>
    <t>Russia</t>
  </si>
  <si>
    <t>South Korea</t>
  </si>
  <si>
    <t>South Sudan*</t>
  </si>
  <si>
    <t>St. Kitts and Nevis</t>
  </si>
  <si>
    <t>St. Lucia</t>
  </si>
  <si>
    <t>St. Vincent and the Grenadines</t>
  </si>
  <si>
    <t>Syria</t>
  </si>
  <si>
    <t>Taiwan</t>
  </si>
  <si>
    <t>Tanzania</t>
  </si>
  <si>
    <t>Turkey</t>
  </si>
  <si>
    <t>United States</t>
  </si>
  <si>
    <t>Venezuela</t>
  </si>
  <si>
    <t>Vietnam</t>
  </si>
  <si>
    <t>Positive</t>
  </si>
  <si>
    <t>Negative</t>
  </si>
  <si>
    <t>Water</t>
  </si>
  <si>
    <t>Food</t>
  </si>
  <si>
    <t>Housing</t>
  </si>
  <si>
    <t>Employment</t>
  </si>
  <si>
    <t>Education</t>
  </si>
  <si>
    <t>Gender</t>
  </si>
  <si>
    <t>Religious Freedom</t>
  </si>
  <si>
    <t>China, Taiwan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</si>
</sst>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&quot; &quot;#,##0.00&quot; &quot;;&quot; &quot;&quot;(&quot;#,##0.00&quot;)&quot;;&quot; &quot;&quot;-&quot;#&quot; &quot;;&quot; &quot;@&quot; &quot;"/>
  </numFmts>
  <fonts count="20">
    <font>
      <sz val="11.0"/>
      <color theme="1"/>
      <name val="Aptos Narrow"/>
      <scheme val="minor"/>
    </font>
    <font>
      <b/>
      <sz val="11.0"/>
      <color rgb="FF000000"/>
      <name val="Aptos Narrow"/>
    </font>
    <font>
      <b/>
      <sz val="11.0"/>
      <color theme="0"/>
      <name val="Aptos Narrow"/>
    </font>
    <font/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1.0"/>
      <color rgb="FF000000"/>
      <name val="Aptos Narrow"/>
    </font>
    <font>
      <sz val="10.0"/>
      <color theme="1"/>
      <name val="Aptos Narrow"/>
    </font>
    <font>
      <b/>
      <sz val="10.0"/>
      <color theme="0"/>
      <name val="Aptos Narrow"/>
    </font>
    <font>
      <b/>
      <sz val="10.0"/>
      <color theme="1"/>
      <name val="Aptos Narrow"/>
    </font>
    <font>
      <b/>
      <sz val="10.0"/>
      <color rgb="FF000000"/>
      <name val="Aptos Narrow"/>
    </font>
    <font>
      <sz val="10.0"/>
      <color rgb="FF000000"/>
      <name val="Aptos Narrow"/>
    </font>
    <font>
      <b/>
      <sz val="11.0"/>
      <color rgb="FFF2F2F2"/>
      <name val="Aptos Narrow"/>
    </font>
    <font>
      <b/>
      <sz val="12.0"/>
      <color theme="0"/>
      <name val="Aptos Narrow"/>
    </font>
    <font>
      <b/>
      <sz val="11.0"/>
      <color theme="0"/>
      <name val="Liberation Sans"/>
    </font>
    <font>
      <sz val="10.0"/>
      <color theme="1"/>
      <name val="Liberation Serif"/>
    </font>
    <font>
      <sz val="10.0"/>
      <color theme="1"/>
      <name val="Arial"/>
    </font>
    <font>
      <i/>
      <sz val="11.0"/>
      <color theme="1"/>
      <name val="Aptos Narrow"/>
    </font>
    <font>
      <sz val="11.0"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153D64"/>
        <bgColor rgb="FF153D64"/>
      </patternFill>
    </fill>
    <fill>
      <patternFill patternType="solid">
        <fgColor rgb="FFBFBFBF"/>
        <bgColor rgb="FFBFBFBF"/>
      </patternFill>
    </fill>
    <fill>
      <patternFill patternType="solid">
        <fgColor rgb="FFA6C9EB"/>
        <bgColor rgb="FFA6C9EB"/>
      </patternFill>
    </fill>
    <fill>
      <patternFill patternType="solid">
        <fgColor rgb="FFE28700"/>
        <bgColor rgb="FFE28700"/>
      </patternFill>
    </fill>
    <fill>
      <patternFill patternType="solid">
        <fgColor rgb="FFA5A5A5"/>
        <bgColor rgb="FFA5A5A5"/>
      </patternFill>
    </fill>
    <fill>
      <patternFill patternType="solid">
        <fgColor rgb="FFF9D9C7"/>
        <bgColor rgb="FFF9D9C7"/>
      </patternFill>
    </fill>
    <fill>
      <patternFill patternType="solid">
        <fgColor rgb="FF3A7D22"/>
        <bgColor rgb="FF3A7D22"/>
      </patternFill>
    </fill>
    <fill>
      <patternFill patternType="solid">
        <fgColor rgb="FFD8D8D8"/>
        <bgColor rgb="FFD8D8D8"/>
      </patternFill>
    </fill>
    <fill>
      <patternFill patternType="solid">
        <fgColor rgb="FFB3E5A1"/>
        <bgColor rgb="FFB3E5A1"/>
      </patternFill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rgb="FF7F340D"/>
        <bgColor rgb="FF7F340D"/>
      </patternFill>
    </fill>
    <fill>
      <patternFill patternType="solid">
        <fgColor rgb="FFFAE2D5"/>
        <bgColor rgb="FFFAE2D5"/>
      </patternFill>
    </fill>
    <fill>
      <patternFill patternType="solid">
        <fgColor rgb="FFCC0099"/>
        <bgColor rgb="FFCC0099"/>
      </patternFill>
    </fill>
    <fill>
      <patternFill patternType="solid">
        <fgColor rgb="FFFFCCFF"/>
        <bgColor rgb="FFFFCCFF"/>
      </patternFill>
    </fill>
    <fill>
      <patternFill patternType="solid">
        <fgColor rgb="FF7030A0"/>
        <bgColor rgb="FF7030A0"/>
      </patternFill>
    </fill>
    <fill>
      <patternFill patternType="solid">
        <fgColor rgb="FFEAB8F2"/>
        <bgColor rgb="FFEAB8F2"/>
      </patternFill>
    </fill>
    <fill>
      <patternFill patternType="solid">
        <fgColor rgb="FF8ED873"/>
        <bgColor rgb="FF8ED873"/>
      </patternFill>
    </fill>
    <fill>
      <patternFill patternType="solid">
        <fgColor rgb="FFBF4F14"/>
        <bgColor rgb="FFBF4F14"/>
      </patternFill>
    </fill>
    <fill>
      <patternFill patternType="solid">
        <fgColor rgb="FF3F3F3F"/>
        <bgColor rgb="FF3F3F3F"/>
      </patternFill>
    </fill>
    <fill>
      <patternFill patternType="solid">
        <fgColor theme="1"/>
        <bgColor theme="1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Border="1" applyFill="1" applyFont="1"/>
    <xf borderId="4" fillId="3" fontId="4" numFmtId="0" xfId="0" applyAlignment="1" applyBorder="1" applyFont="1">
      <alignment horizontal="center"/>
    </xf>
    <xf borderId="5" fillId="4" fontId="5" numFmtId="0" xfId="0" applyBorder="1" applyFill="1" applyFont="1"/>
    <xf borderId="0" fillId="0" fontId="5" numFmtId="0" xfId="0" applyFont="1"/>
    <xf borderId="0" fillId="0" fontId="5" numFmtId="0" xfId="0" applyAlignment="1" applyFont="1">
      <alignment horizontal="center"/>
    </xf>
    <xf borderId="0" fillId="0" fontId="5" numFmtId="1" xfId="0" applyFont="1" applyNumberFormat="1"/>
    <xf borderId="0" fillId="0" fontId="6" numFmtId="0" xfId="0" applyFont="1"/>
    <xf borderId="0" fillId="0" fontId="7" numFmtId="0" xfId="0" applyFont="1"/>
    <xf borderId="0" fillId="0" fontId="7" numFmtId="1" xfId="0" applyFont="1" applyNumberFormat="1"/>
    <xf borderId="0" fillId="0" fontId="8" numFmtId="0" xfId="0" applyAlignment="1" applyFont="1">
      <alignment horizontal="center"/>
    </xf>
    <xf borderId="1" fillId="5" fontId="9" numFmtId="0" xfId="0" applyAlignment="1" applyBorder="1" applyFill="1" applyFont="1">
      <alignment horizontal="center"/>
    </xf>
    <xf borderId="5" fillId="6" fontId="10" numFmtId="0" xfId="0" applyAlignment="1" applyBorder="1" applyFill="1" applyFont="1">
      <alignment horizontal="center"/>
    </xf>
    <xf borderId="5" fillId="7" fontId="11" numFmtId="0" xfId="0" applyAlignment="1" applyBorder="1" applyFill="1" applyFont="1">
      <alignment horizontal="center" vertical="top"/>
    </xf>
    <xf borderId="0" fillId="0" fontId="12" numFmtId="0" xfId="0" applyAlignment="1" applyFont="1">
      <alignment horizontal="center" vertical="top"/>
    </xf>
    <xf borderId="0" fillId="0" fontId="8" numFmtId="0" xfId="0" applyFont="1"/>
    <xf borderId="1" fillId="8" fontId="2" numFmtId="0" xfId="0" applyAlignment="1" applyBorder="1" applyFill="1" applyFont="1">
      <alignment horizontal="center"/>
    </xf>
    <xf borderId="5" fillId="8" fontId="2" numFmtId="0" xfId="0" applyAlignment="1" applyBorder="1" applyFont="1">
      <alignment horizontal="center"/>
    </xf>
    <xf borderId="5" fillId="9" fontId="4" numFmtId="0" xfId="0" applyBorder="1" applyFill="1" applyFont="1"/>
    <xf borderId="5" fillId="9" fontId="4" numFmtId="0" xfId="0" applyAlignment="1" applyBorder="1" applyFont="1">
      <alignment horizontal="center"/>
    </xf>
    <xf borderId="5" fillId="10" fontId="4" numFmtId="0" xfId="0" applyBorder="1" applyFill="1" applyFont="1"/>
    <xf borderId="0" fillId="0" fontId="4" numFmtId="0" xfId="0" applyFont="1"/>
    <xf borderId="0" fillId="0" fontId="5" numFmtId="164" xfId="0" applyAlignment="1" applyFont="1" applyNumberFormat="1">
      <alignment horizontal="left" vertical="center"/>
    </xf>
    <xf borderId="0" fillId="0" fontId="5" numFmtId="164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left"/>
    </xf>
    <xf borderId="0" fillId="0" fontId="5" numFmtId="164" xfId="0" applyAlignment="1" applyFont="1" applyNumberFormat="1">
      <alignment horizontal="center"/>
    </xf>
    <xf borderId="0" fillId="0" fontId="5" numFmtId="164" xfId="0" applyFont="1" applyNumberFormat="1"/>
    <xf borderId="1" fillId="11" fontId="2" numFmtId="0" xfId="0" applyAlignment="1" applyBorder="1" applyFill="1" applyFont="1">
      <alignment horizontal="center"/>
    </xf>
    <xf borderId="5" fillId="12" fontId="4" numFmtId="0" xfId="0" applyBorder="1" applyFill="1" applyFont="1"/>
    <xf borderId="0" fillId="0" fontId="5" numFmtId="165" xfId="0" applyFont="1" applyNumberFormat="1"/>
    <xf borderId="1" fillId="13" fontId="13" numFmtId="0" xfId="0" applyAlignment="1" applyBorder="1" applyFill="1" applyFont="1">
      <alignment horizontal="center"/>
    </xf>
    <xf borderId="5" fillId="3" fontId="4" numFmtId="0" xfId="0" applyAlignment="1" applyBorder="1" applyFont="1">
      <alignment horizontal="center"/>
    </xf>
    <xf borderId="5" fillId="14" fontId="4" numFmtId="0" xfId="0" applyAlignment="1" applyBorder="1" applyFill="1" applyFont="1">
      <alignment horizontal="center"/>
    </xf>
    <xf borderId="1" fillId="15" fontId="14" numFmtId="0" xfId="0" applyAlignment="1" applyBorder="1" applyFill="1" applyFont="1">
      <alignment horizontal="center"/>
    </xf>
    <xf borderId="5" fillId="9" fontId="5" numFmtId="0" xfId="0" applyBorder="1" applyFont="1"/>
    <xf borderId="5" fillId="16" fontId="5" numFmtId="0" xfId="0" applyBorder="1" applyFill="1" applyFont="1"/>
    <xf borderId="0" fillId="0" fontId="5" numFmtId="166" xfId="0" applyFont="1" applyNumberFormat="1"/>
    <xf borderId="1" fillId="17" fontId="15" numFmtId="0" xfId="0" applyAlignment="1" applyBorder="1" applyFill="1" applyFont="1">
      <alignment horizontal="center"/>
    </xf>
    <xf borderId="5" fillId="18" fontId="5" numFmtId="0" xfId="0" applyBorder="1" applyFill="1" applyFont="1"/>
    <xf borderId="0" fillId="0" fontId="16" numFmtId="0" xfId="0" applyAlignment="1" applyFont="1">
      <alignment shrinkToFit="0" wrapText="1"/>
    </xf>
    <xf borderId="0" fillId="0" fontId="17" numFmtId="167" xfId="0" applyFont="1" applyNumberFormat="1"/>
    <xf borderId="0" fillId="0" fontId="11" numFmtId="0" xfId="0" applyFont="1"/>
    <xf borderId="0" fillId="0" fontId="12" numFmtId="0" xfId="0" applyFont="1"/>
    <xf borderId="5" fillId="19" fontId="4" numFmtId="164" xfId="0" applyAlignment="1" applyBorder="1" applyFill="1" applyFont="1" applyNumberFormat="1">
      <alignment horizontal="center"/>
    </xf>
    <xf borderId="5" fillId="20" fontId="2" numFmtId="164" xfId="0" applyAlignment="1" applyBorder="1" applyFill="1" applyFont="1" applyNumberFormat="1">
      <alignment horizontal="center"/>
    </xf>
    <xf borderId="5" fillId="21" fontId="2" numFmtId="0" xfId="0" applyAlignment="1" applyBorder="1" applyFill="1" applyFont="1">
      <alignment horizontal="center"/>
    </xf>
    <xf borderId="5" fillId="22" fontId="13" numFmtId="0" xfId="0" applyBorder="1" applyFill="1" applyFont="1"/>
    <xf borderId="5" fillId="22" fontId="13" numFmtId="164" xfId="0" applyAlignment="1" applyBorder="1" applyFont="1" applyNumberFormat="1">
      <alignment horizontal="center"/>
    </xf>
    <xf borderId="6" fillId="0" fontId="18" numFmtId="0" xfId="0" applyAlignment="1" applyBorder="1" applyFont="1">
      <alignment horizontal="center"/>
    </xf>
    <xf borderId="7" fillId="0" fontId="5" numFmtId="0" xfId="0" applyBorder="1" applyFont="1"/>
    <xf borderId="7" fillId="0" fontId="5" numFmtId="164" xfId="0" applyBorder="1" applyFont="1" applyNumberFormat="1"/>
    <xf borderId="0" fillId="0" fontId="19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3.63"/>
    <col customWidth="1" min="2" max="2" width="8.88"/>
    <col customWidth="1" min="3" max="12" width="11.5"/>
    <col customWidth="1" min="13" max="26" width="8.63"/>
  </cols>
  <sheetData>
    <row r="1" ht="14.25" customHeight="1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A2" s="5" t="s">
        <v>1</v>
      </c>
      <c r="B2" s="6" t="s">
        <v>2</v>
      </c>
      <c r="C2" s="7">
        <v>2013.0</v>
      </c>
      <c r="D2" s="7">
        <v>2014.0</v>
      </c>
      <c r="E2" s="7">
        <v>2015.0</v>
      </c>
      <c r="F2" s="7">
        <v>2016.0</v>
      </c>
      <c r="G2" s="7">
        <v>2017.0</v>
      </c>
      <c r="H2" s="7">
        <v>2018.0</v>
      </c>
      <c r="I2" s="7">
        <v>2019.0</v>
      </c>
      <c r="J2" s="7">
        <v>2020.0</v>
      </c>
      <c r="K2" s="7">
        <v>2021.0</v>
      </c>
      <c r="L2" s="7">
        <v>2022.0</v>
      </c>
    </row>
    <row r="3" ht="14.25" customHeight="1">
      <c r="A3" s="8" t="s">
        <v>3</v>
      </c>
      <c r="B3" s="9" t="s">
        <v>4</v>
      </c>
      <c r="C3" s="10">
        <v>56.85814159481242</v>
      </c>
      <c r="D3" s="10">
        <v>59.59815817381212</v>
      </c>
      <c r="E3" s="10">
        <v>62.3696595585624</v>
      </c>
      <c r="F3" s="10">
        <v>65.1721622599667</v>
      </c>
      <c r="G3" s="10">
        <v>68.0088715856643</v>
      </c>
      <c r="H3" s="10">
        <v>70.8799408932308</v>
      </c>
      <c r="I3" s="10">
        <v>73.78464299673078</v>
      </c>
      <c r="J3" s="10">
        <v>76.72225540253996</v>
      </c>
      <c r="K3" s="10">
        <v>79.69307845890738</v>
      </c>
      <c r="L3" s="10">
        <v>82.17537111817064</v>
      </c>
    </row>
    <row r="4" ht="14.25" customHeight="1">
      <c r="A4" s="8" t="s">
        <v>5</v>
      </c>
      <c r="B4" s="9" t="s">
        <v>6</v>
      </c>
      <c r="C4" s="10">
        <v>92.63159605842796</v>
      </c>
      <c r="D4" s="10">
        <v>93.02005805970317</v>
      </c>
      <c r="E4" s="10">
        <v>93.39432396836449</v>
      </c>
      <c r="F4" s="10">
        <v>93.75487790949681</v>
      </c>
      <c r="G4" s="10">
        <v>94.10209620027011</v>
      </c>
      <c r="H4" s="10">
        <v>94.43639343472186</v>
      </c>
      <c r="I4" s="10">
        <v>94.7582247174548</v>
      </c>
      <c r="J4" s="10">
        <v>95.06803881458087</v>
      </c>
      <c r="K4" s="10">
        <v>95.08151344250025</v>
      </c>
      <c r="L4" s="10">
        <v>95.09456352203576</v>
      </c>
    </row>
    <row r="5" ht="14.25" customHeight="1">
      <c r="A5" s="8" t="s">
        <v>7</v>
      </c>
      <c r="B5" s="9" t="s">
        <v>8</v>
      </c>
      <c r="C5" s="10">
        <v>92.9708811462695</v>
      </c>
      <c r="D5" s="10">
        <v>93.19234678040893</v>
      </c>
      <c r="E5" s="10">
        <v>93.4095576469991</v>
      </c>
      <c r="F5" s="10">
        <v>93.62277553589941</v>
      </c>
      <c r="G5" s="10">
        <v>93.83197493030984</v>
      </c>
      <c r="H5" s="10">
        <v>94.03741492500411</v>
      </c>
      <c r="I5" s="10">
        <v>94.23913986016143</v>
      </c>
      <c r="J5" s="10">
        <v>94.43732997041243</v>
      </c>
      <c r="K5" s="10">
        <v>94.63210204355747</v>
      </c>
      <c r="L5" s="10">
        <v>94.66139754792378</v>
      </c>
      <c r="M5" s="11">
        <f t="shared" ref="M5:M6" si="1">COUNT(L5)</f>
        <v>1</v>
      </c>
    </row>
    <row r="6" ht="14.25" customHeight="1">
      <c r="A6" s="8" t="s">
        <v>9</v>
      </c>
      <c r="B6" s="9" t="s">
        <v>10</v>
      </c>
      <c r="C6" s="10">
        <v>98.23005500659457</v>
      </c>
      <c r="D6" s="10">
        <v>98.48372920785869</v>
      </c>
      <c r="E6" s="10">
        <v>98.73740340912275</v>
      </c>
      <c r="F6" s="10">
        <v>98.99107761038681</v>
      </c>
      <c r="G6" s="10">
        <v>99.0</v>
      </c>
      <c r="H6" s="10">
        <v>99.0</v>
      </c>
      <c r="I6" s="10">
        <v>99.0</v>
      </c>
      <c r="J6" s="10">
        <v>99.0</v>
      </c>
      <c r="K6" s="10">
        <v>99.0</v>
      </c>
      <c r="L6" s="10"/>
      <c r="M6" s="11">
        <f t="shared" si="1"/>
        <v>0</v>
      </c>
    </row>
    <row r="7" ht="14.25" customHeight="1">
      <c r="A7" s="8" t="s">
        <v>11</v>
      </c>
      <c r="B7" s="9" t="s">
        <v>12</v>
      </c>
      <c r="C7" s="10">
        <v>99.0</v>
      </c>
      <c r="D7" s="10">
        <v>99.0</v>
      </c>
      <c r="E7" s="10">
        <v>99.0</v>
      </c>
      <c r="F7" s="10">
        <v>99.0</v>
      </c>
      <c r="G7" s="10">
        <v>99.0</v>
      </c>
      <c r="H7" s="10">
        <v>99.0</v>
      </c>
      <c r="I7" s="10">
        <v>99.0</v>
      </c>
      <c r="J7" s="10">
        <v>99.0</v>
      </c>
      <c r="K7" s="10">
        <v>99.0</v>
      </c>
      <c r="L7" s="10">
        <v>99.0</v>
      </c>
    </row>
    <row r="8" ht="14.25" customHeight="1">
      <c r="A8" s="8" t="s">
        <v>13</v>
      </c>
      <c r="B8" s="9" t="s">
        <v>14</v>
      </c>
      <c r="C8" s="10">
        <v>52.75734576550213</v>
      </c>
      <c r="D8" s="10">
        <v>53.5415077905239</v>
      </c>
      <c r="E8" s="10">
        <v>54.31693061265701</v>
      </c>
      <c r="F8" s="10">
        <v>55.08427251321324</v>
      </c>
      <c r="G8" s="10">
        <v>55.84290952229603</v>
      </c>
      <c r="H8" s="10">
        <v>56.59174876783334</v>
      </c>
      <c r="I8" s="10">
        <v>56.88303749491693</v>
      </c>
      <c r="J8" s="10">
        <v>57.16773792283674</v>
      </c>
      <c r="K8" s="10">
        <v>57.44672552517734</v>
      </c>
      <c r="L8" s="10">
        <v>57.7195606692859</v>
      </c>
    </row>
    <row r="9" ht="14.25" customHeight="1">
      <c r="A9" s="8" t="s">
        <v>15</v>
      </c>
      <c r="B9" s="9" t="s">
        <v>16</v>
      </c>
      <c r="C9" s="10">
        <v>97.48227424749163</v>
      </c>
      <c r="D9" s="10">
        <v>97.48227424749163</v>
      </c>
      <c r="E9" s="10">
        <v>97.48227424749163</v>
      </c>
      <c r="F9" s="10">
        <v>97.48227424749163</v>
      </c>
      <c r="G9" s="10">
        <v>97.48227424749163</v>
      </c>
      <c r="H9" s="10"/>
      <c r="I9" s="10"/>
      <c r="J9" s="10"/>
      <c r="K9" s="10"/>
      <c r="L9" s="10"/>
    </row>
    <row r="10" ht="14.25" customHeight="1">
      <c r="A10" s="8" t="s">
        <v>17</v>
      </c>
      <c r="B10" s="9" t="s">
        <v>18</v>
      </c>
      <c r="C10" s="10">
        <v>98.36559380078661</v>
      </c>
      <c r="D10" s="10">
        <v>98.36547509163995</v>
      </c>
      <c r="E10" s="10">
        <v>98.36536226907485</v>
      </c>
      <c r="F10" s="10">
        <v>98.36526240140843</v>
      </c>
      <c r="G10" s="10">
        <v>98.36517544496945</v>
      </c>
      <c r="H10" s="10">
        <v>98.36510059167095</v>
      </c>
      <c r="I10" s="10">
        <v>98.36503872301049</v>
      </c>
      <c r="J10" s="10">
        <v>98.3649937785451</v>
      </c>
      <c r="K10" s="10">
        <v>98.36495728481401</v>
      </c>
      <c r="L10" s="10">
        <v>98.36493561830325</v>
      </c>
    </row>
    <row r="11" ht="14.25" customHeight="1">
      <c r="A11" s="8" t="s">
        <v>19</v>
      </c>
      <c r="B11" s="9" t="s">
        <v>20</v>
      </c>
      <c r="C11" s="10">
        <v>98.86419896049817</v>
      </c>
      <c r="D11" s="10">
        <v>98.92324798514657</v>
      </c>
      <c r="E11" s="10">
        <v>98.98230818803108</v>
      </c>
      <c r="F11" s="10">
        <v>99.0</v>
      </c>
      <c r="G11" s="10"/>
      <c r="H11" s="10"/>
      <c r="I11" s="10"/>
      <c r="J11" s="10"/>
      <c r="K11" s="10"/>
      <c r="L11" s="10"/>
    </row>
    <row r="12" ht="14.25" customHeight="1">
      <c r="A12" s="8" t="s">
        <v>21</v>
      </c>
      <c r="B12" s="9" t="s">
        <v>22</v>
      </c>
      <c r="C12" s="10">
        <v>99.0</v>
      </c>
      <c r="D12" s="10">
        <v>99.0</v>
      </c>
      <c r="E12" s="10">
        <v>99.0</v>
      </c>
      <c r="F12" s="10">
        <v>99.0</v>
      </c>
      <c r="G12" s="10">
        <v>99.0</v>
      </c>
      <c r="H12" s="10">
        <v>99.0</v>
      </c>
      <c r="I12" s="10">
        <v>99.0</v>
      </c>
      <c r="J12" s="10">
        <v>99.0</v>
      </c>
      <c r="K12" s="10">
        <v>99.0</v>
      </c>
      <c r="L12" s="10">
        <v>99.0</v>
      </c>
    </row>
    <row r="13" ht="14.25" customHeight="1">
      <c r="A13" s="8" t="s">
        <v>23</v>
      </c>
      <c r="B13" s="9" t="s">
        <v>24</v>
      </c>
      <c r="C13" s="10">
        <v>97.86902338098588</v>
      </c>
      <c r="D13" s="10">
        <v>97.86902338098588</v>
      </c>
      <c r="E13" s="10">
        <v>97.86902338098588</v>
      </c>
      <c r="F13" s="10">
        <v>97.86902338098588</v>
      </c>
      <c r="G13" s="10"/>
      <c r="H13" s="10"/>
      <c r="I13" s="10"/>
      <c r="J13" s="10"/>
      <c r="K13" s="10"/>
      <c r="L13" s="10"/>
    </row>
    <row r="14" ht="14.25" customHeight="1">
      <c r="A14" s="8" t="s">
        <v>25</v>
      </c>
      <c r="B14" s="9" t="s">
        <v>26</v>
      </c>
      <c r="C14" s="10">
        <v>99.0</v>
      </c>
      <c r="D14" s="10">
        <v>99.0</v>
      </c>
      <c r="E14" s="10">
        <v>99.0</v>
      </c>
      <c r="F14" s="10">
        <v>99.0</v>
      </c>
      <c r="G14" s="10">
        <v>99.0</v>
      </c>
      <c r="H14" s="10">
        <v>99.0</v>
      </c>
      <c r="I14" s="10">
        <v>99.0</v>
      </c>
      <c r="J14" s="10">
        <v>99.0</v>
      </c>
      <c r="K14" s="10">
        <v>99.0</v>
      </c>
      <c r="L14" s="10">
        <v>99.0</v>
      </c>
    </row>
    <row r="15" ht="14.25" customHeight="1">
      <c r="A15" s="8" t="s">
        <v>27</v>
      </c>
      <c r="B15" s="9" t="s">
        <v>28</v>
      </c>
      <c r="C15" s="10">
        <v>99.0</v>
      </c>
      <c r="D15" s="10">
        <v>99.0</v>
      </c>
      <c r="E15" s="10">
        <v>99.0</v>
      </c>
      <c r="F15" s="10">
        <v>99.0</v>
      </c>
      <c r="G15" s="10">
        <v>99.0</v>
      </c>
      <c r="H15" s="10">
        <v>99.0</v>
      </c>
      <c r="I15" s="10">
        <v>99.0</v>
      </c>
      <c r="J15" s="10">
        <v>99.0</v>
      </c>
      <c r="K15" s="10">
        <v>99.0</v>
      </c>
      <c r="L15" s="10">
        <v>99.0</v>
      </c>
    </row>
    <row r="16" ht="14.25" customHeight="1">
      <c r="A16" s="8" t="s">
        <v>29</v>
      </c>
      <c r="B16" s="9" t="s">
        <v>30</v>
      </c>
      <c r="C16" s="10">
        <v>89.95285530196175</v>
      </c>
      <c r="D16" s="10">
        <v>91.28315301355212</v>
      </c>
      <c r="E16" s="10">
        <v>92.56932372634017</v>
      </c>
      <c r="F16" s="10">
        <v>93.35315992652868</v>
      </c>
      <c r="G16" s="10">
        <v>94.13123339988846</v>
      </c>
      <c r="H16" s="10">
        <v>94.90297678749036</v>
      </c>
      <c r="I16" s="10">
        <v>95.66774777071602</v>
      </c>
      <c r="J16" s="10">
        <v>96.36208217801685</v>
      </c>
      <c r="K16" s="10">
        <v>97.00710207302006</v>
      </c>
      <c r="L16" s="10">
        <v>97.6421868392552</v>
      </c>
    </row>
    <row r="17" ht="14.25" customHeight="1">
      <c r="A17" s="8" t="s">
        <v>31</v>
      </c>
      <c r="B17" s="9" t="s">
        <v>32</v>
      </c>
      <c r="C17" s="10">
        <v>98.80143184580383</v>
      </c>
      <c r="D17" s="10">
        <v>98.84419617157215</v>
      </c>
      <c r="E17" s="10">
        <v>98.88696049734048</v>
      </c>
      <c r="F17" s="10">
        <v>98.88696049734048</v>
      </c>
      <c r="G17" s="10">
        <v>98.88696049734048</v>
      </c>
      <c r="H17" s="10">
        <v>98.88696049734048</v>
      </c>
      <c r="I17" s="10">
        <v>98.88696049734048</v>
      </c>
      <c r="J17" s="10"/>
      <c r="K17" s="10"/>
      <c r="L17" s="10"/>
    </row>
    <row r="18" ht="14.25" customHeight="1">
      <c r="A18" s="8" t="s">
        <v>33</v>
      </c>
      <c r="B18" s="9" t="s">
        <v>34</v>
      </c>
      <c r="C18" s="10">
        <v>99.0</v>
      </c>
      <c r="D18" s="10">
        <v>99.0</v>
      </c>
      <c r="E18" s="10">
        <v>99.0</v>
      </c>
      <c r="F18" s="10">
        <v>99.0</v>
      </c>
      <c r="G18" s="10">
        <v>99.0</v>
      </c>
      <c r="H18" s="10">
        <v>99.0</v>
      </c>
      <c r="I18" s="10">
        <v>99.0</v>
      </c>
      <c r="J18" s="10">
        <v>99.0</v>
      </c>
      <c r="K18" s="10">
        <v>99.0</v>
      </c>
      <c r="L18" s="10">
        <v>99.0</v>
      </c>
    </row>
    <row r="19" ht="14.25" customHeight="1">
      <c r="A19" s="8" t="s">
        <v>35</v>
      </c>
      <c r="B19" s="9" t="s">
        <v>36</v>
      </c>
      <c r="C19" s="10">
        <v>97.0140618269523</v>
      </c>
      <c r="D19" s="10">
        <v>97.15966367601345</v>
      </c>
      <c r="E19" s="10">
        <v>97.30110109047078</v>
      </c>
      <c r="F19" s="10">
        <v>97.43839090940067</v>
      </c>
      <c r="G19" s="10">
        <v>97.57149329468189</v>
      </c>
      <c r="H19" s="10">
        <v>97.70041154689605</v>
      </c>
      <c r="I19" s="10">
        <v>97.82513657134106</v>
      </c>
      <c r="J19" s="10">
        <v>97.94567602044701</v>
      </c>
      <c r="K19" s="10">
        <v>98.03301971200086</v>
      </c>
      <c r="L19" s="10">
        <v>98.09706298490782</v>
      </c>
    </row>
    <row r="20" ht="14.25" customHeight="1">
      <c r="A20" s="8" t="s">
        <v>37</v>
      </c>
      <c r="B20" s="9" t="s">
        <v>38</v>
      </c>
      <c r="C20" s="10">
        <v>98.4544419049381</v>
      </c>
      <c r="D20" s="10">
        <v>98.46444332388502</v>
      </c>
      <c r="E20" s="10">
        <v>98.47444474283192</v>
      </c>
      <c r="F20" s="10">
        <v>98.48444616177885</v>
      </c>
      <c r="G20" s="10">
        <v>98.49444758072573</v>
      </c>
      <c r="H20" s="10">
        <v>98.50444899967265</v>
      </c>
      <c r="I20" s="10">
        <v>98.51445041861956</v>
      </c>
      <c r="J20" s="10">
        <v>98.51445041861956</v>
      </c>
      <c r="K20" s="10">
        <v>98.51445041861956</v>
      </c>
      <c r="L20" s="10">
        <v>98.51445041861956</v>
      </c>
    </row>
    <row r="21" ht="14.25" customHeight="1">
      <c r="A21" s="8" t="s">
        <v>39</v>
      </c>
      <c r="B21" s="9" t="s">
        <v>40</v>
      </c>
      <c r="C21" s="10">
        <v>98.31191843032605</v>
      </c>
      <c r="D21" s="10">
        <v>98.32036146442084</v>
      </c>
      <c r="E21" s="10">
        <v>98.3308556431228</v>
      </c>
      <c r="F21" s="10">
        <v>98.34333448430661</v>
      </c>
      <c r="G21" s="10">
        <v>98.3577545705515</v>
      </c>
      <c r="H21" s="10">
        <v>98.37399820078086</v>
      </c>
      <c r="I21" s="10">
        <v>98.39198685447272</v>
      </c>
      <c r="J21" s="10">
        <v>98.6515731688089</v>
      </c>
      <c r="K21" s="10">
        <v>99.0</v>
      </c>
      <c r="L21" s="10">
        <v>99.0</v>
      </c>
    </row>
    <row r="22" ht="14.25" customHeight="1">
      <c r="A22" s="8" t="s">
        <v>41</v>
      </c>
      <c r="B22" s="9" t="s">
        <v>42</v>
      </c>
      <c r="C22" s="10">
        <v>99.0</v>
      </c>
      <c r="D22" s="10">
        <v>99.0</v>
      </c>
      <c r="E22" s="10">
        <v>99.0</v>
      </c>
      <c r="F22" s="10">
        <v>99.0</v>
      </c>
      <c r="G22" s="10">
        <v>99.0</v>
      </c>
      <c r="H22" s="10">
        <v>99.0</v>
      </c>
      <c r="I22" s="10">
        <v>99.0</v>
      </c>
      <c r="J22" s="10">
        <v>99.0</v>
      </c>
      <c r="K22" s="10">
        <v>99.0</v>
      </c>
      <c r="L22" s="10">
        <v>99.0</v>
      </c>
    </row>
    <row r="23" ht="14.25" customHeight="1">
      <c r="A23" s="8" t="s">
        <v>43</v>
      </c>
      <c r="B23" s="9" t="s">
        <v>44</v>
      </c>
      <c r="C23" s="10">
        <v>95.89018574019569</v>
      </c>
      <c r="D23" s="10">
        <v>96.54230010032727</v>
      </c>
      <c r="E23" s="10">
        <v>97.17559147960411</v>
      </c>
      <c r="F23" s="10">
        <v>97.58454052458119</v>
      </c>
      <c r="G23" s="10">
        <v>97.99257796996808</v>
      </c>
      <c r="H23" s="10">
        <v>98.39929303827732</v>
      </c>
      <c r="I23" s="10">
        <v>98.40054976746349</v>
      </c>
      <c r="J23" s="10">
        <v>98.4019559329424</v>
      </c>
      <c r="K23" s="10">
        <v>98.40350771316025</v>
      </c>
      <c r="L23" s="10">
        <v>98.40523412324544</v>
      </c>
    </row>
    <row r="24" ht="14.25" customHeight="1">
      <c r="A24" s="8" t="s">
        <v>45</v>
      </c>
      <c r="B24" s="9" t="s">
        <v>46</v>
      </c>
      <c r="C24" s="10">
        <v>65.27959979404439</v>
      </c>
      <c r="D24" s="10">
        <v>65.52347496255238</v>
      </c>
      <c r="E24" s="10">
        <v>65.76275872957686</v>
      </c>
      <c r="F24" s="10">
        <v>65.9973620315647</v>
      </c>
      <c r="G24" s="10">
        <v>66.22719933008766</v>
      </c>
      <c r="H24" s="10">
        <v>66.45219787867289</v>
      </c>
      <c r="I24" s="10">
        <v>66.67226715075296</v>
      </c>
      <c r="J24" s="10">
        <v>66.88732894746278</v>
      </c>
      <c r="K24" s="10">
        <v>67.12590914556314</v>
      </c>
      <c r="L24" s="10">
        <v>67.36026980616704</v>
      </c>
    </row>
    <row r="25" ht="14.25" customHeight="1">
      <c r="A25" s="8" t="s">
        <v>47</v>
      </c>
      <c r="B25" s="9" t="s">
        <v>48</v>
      </c>
      <c r="C25" s="10">
        <v>99.0</v>
      </c>
      <c r="D25" s="10">
        <v>99.0</v>
      </c>
      <c r="E25" s="10">
        <v>99.0</v>
      </c>
      <c r="F25" s="10">
        <v>99.0</v>
      </c>
      <c r="G25" s="10">
        <v>99.0</v>
      </c>
      <c r="H25" s="10">
        <v>99.0</v>
      </c>
      <c r="I25" s="10">
        <v>99.0</v>
      </c>
      <c r="J25" s="10">
        <v>99.0</v>
      </c>
      <c r="K25" s="10">
        <v>99.0</v>
      </c>
      <c r="L25" s="10">
        <v>99.0</v>
      </c>
    </row>
    <row r="26" ht="14.25" customHeight="1">
      <c r="A26" s="8" t="s">
        <v>49</v>
      </c>
      <c r="B26" s="9" t="s">
        <v>50</v>
      </c>
      <c r="C26" s="10">
        <v>95.70915284334997</v>
      </c>
      <c r="D26" s="10">
        <v>96.60577773611652</v>
      </c>
      <c r="E26" s="10">
        <v>97.4862232685065</v>
      </c>
      <c r="F26" s="10">
        <v>98.18623887925625</v>
      </c>
      <c r="G26" s="10">
        <v>98.6598417425712</v>
      </c>
      <c r="H26" s="10">
        <v>98.76499650345154</v>
      </c>
      <c r="I26" s="10">
        <v>98.87231223938599</v>
      </c>
      <c r="J26" s="10">
        <v>98.98171763461634</v>
      </c>
      <c r="K26" s="10">
        <v>99.0</v>
      </c>
      <c r="L26" s="10">
        <v>99.0</v>
      </c>
    </row>
    <row r="27" ht="14.25" customHeight="1">
      <c r="A27" s="8" t="s">
        <v>51</v>
      </c>
      <c r="B27" s="9" t="s">
        <v>52</v>
      </c>
      <c r="C27" s="10">
        <v>89.25007344368764</v>
      </c>
      <c r="D27" s="10">
        <v>89.8203347879304</v>
      </c>
      <c r="E27" s="10">
        <v>90.38416809324988</v>
      </c>
      <c r="F27" s="10">
        <v>90.94184942804056</v>
      </c>
      <c r="G27" s="10">
        <v>91.49294854789602</v>
      </c>
      <c r="H27" s="10">
        <v>92.03884407365436</v>
      </c>
      <c r="I27" s="10">
        <v>92.56595389599246</v>
      </c>
      <c r="J27" s="10">
        <v>93.08742168759022</v>
      </c>
      <c r="K27" s="10">
        <v>93.60317892300505</v>
      </c>
      <c r="L27" s="10">
        <v>94.11337038361637</v>
      </c>
    </row>
    <row r="28" ht="14.25" customHeight="1">
      <c r="A28" s="8" t="s">
        <v>53</v>
      </c>
      <c r="B28" s="9" t="s">
        <v>54</v>
      </c>
      <c r="C28" s="10">
        <v>99.0</v>
      </c>
      <c r="D28" s="10">
        <v>99.0</v>
      </c>
      <c r="E28" s="10">
        <v>99.0</v>
      </c>
      <c r="F28" s="10">
        <v>99.0</v>
      </c>
      <c r="G28" s="10">
        <v>99.0</v>
      </c>
      <c r="H28" s="10">
        <v>99.0</v>
      </c>
      <c r="I28" s="10">
        <v>99.0</v>
      </c>
      <c r="J28" s="10">
        <v>99.0</v>
      </c>
      <c r="K28" s="10">
        <v>99.0</v>
      </c>
      <c r="L28" s="10">
        <v>99.0</v>
      </c>
    </row>
    <row r="29" ht="14.25" customHeight="1">
      <c r="A29" s="8" t="s">
        <v>55</v>
      </c>
      <c r="B29" s="9" t="s">
        <v>56</v>
      </c>
      <c r="C29" s="10">
        <v>96.35200449607659</v>
      </c>
      <c r="D29" s="10">
        <v>96.16812776831254</v>
      </c>
      <c r="E29" s="10">
        <v>96.1598434809044</v>
      </c>
      <c r="F29" s="10">
        <v>96.15126413482729</v>
      </c>
      <c r="G29" s="10">
        <v>96.14235887996047</v>
      </c>
      <c r="H29" s="10">
        <v>96.13317408899373</v>
      </c>
      <c r="I29" s="10">
        <v>96.1237006211931</v>
      </c>
      <c r="J29" s="10">
        <v>96.11389711968971</v>
      </c>
      <c r="K29" s="10">
        <v>96.10382253292735</v>
      </c>
      <c r="L29" s="10">
        <v>96.09347421866396</v>
      </c>
    </row>
    <row r="30" ht="14.25" customHeight="1">
      <c r="A30" s="8" t="s">
        <v>57</v>
      </c>
      <c r="B30" s="9" t="s">
        <v>58</v>
      </c>
      <c r="C30" s="10">
        <v>86.50760331394069</v>
      </c>
      <c r="D30" s="10">
        <v>87.52248077098578</v>
      </c>
      <c r="E30" s="10">
        <v>88.51249645598949</v>
      </c>
      <c r="F30" s="10">
        <v>89.47790173174383</v>
      </c>
      <c r="G30" s="10">
        <v>90.41850621420586</v>
      </c>
      <c r="H30" s="10">
        <v>91.33266973584556</v>
      </c>
      <c r="I30" s="10">
        <v>92.2214029742791</v>
      </c>
      <c r="J30" s="10">
        <v>92.33857773933137</v>
      </c>
      <c r="K30" s="10">
        <v>92.44851614113838</v>
      </c>
      <c r="L30" s="10">
        <v>92.56756198784339</v>
      </c>
    </row>
    <row r="31" ht="14.25" customHeight="1">
      <c r="A31" s="8" t="s">
        <v>59</v>
      </c>
      <c r="B31" s="9" t="s">
        <v>60</v>
      </c>
      <c r="C31" s="10">
        <v>97.3076718816465</v>
      </c>
      <c r="D31" s="10">
        <v>97.55858118551573</v>
      </c>
      <c r="E31" s="10">
        <v>97.80356478929971</v>
      </c>
      <c r="F31" s="10">
        <v>97.95583973431202</v>
      </c>
      <c r="G31" s="10">
        <v>98.45095603224688</v>
      </c>
      <c r="H31" s="10">
        <v>98.67949370025947</v>
      </c>
      <c r="I31" s="10">
        <v>98.93554395183615</v>
      </c>
      <c r="J31" s="10">
        <v>99.0</v>
      </c>
      <c r="K31" s="10">
        <v>99.0</v>
      </c>
      <c r="L31" s="10">
        <v>99.0</v>
      </c>
    </row>
    <row r="32" ht="14.25" customHeight="1">
      <c r="A32" s="8" t="s">
        <v>61</v>
      </c>
      <c r="B32" s="9" t="s">
        <v>62</v>
      </c>
      <c r="C32" s="10">
        <v>99.0</v>
      </c>
      <c r="D32" s="10">
        <v>99.0</v>
      </c>
      <c r="E32" s="10">
        <v>99.0</v>
      </c>
      <c r="F32" s="10">
        <v>99.0</v>
      </c>
      <c r="G32" s="10">
        <v>99.0</v>
      </c>
      <c r="H32" s="10">
        <v>99.0</v>
      </c>
      <c r="I32" s="10">
        <v>99.0</v>
      </c>
      <c r="J32" s="10">
        <v>99.0</v>
      </c>
      <c r="K32" s="10">
        <v>99.0</v>
      </c>
      <c r="L32" s="10">
        <v>99.0</v>
      </c>
    </row>
    <row r="33" ht="14.25" customHeight="1">
      <c r="A33" s="8" t="s">
        <v>63</v>
      </c>
      <c r="B33" s="9" t="s">
        <v>64</v>
      </c>
      <c r="C33" s="10">
        <v>99.0</v>
      </c>
      <c r="D33" s="10">
        <v>99.0</v>
      </c>
      <c r="E33" s="10">
        <v>99.0</v>
      </c>
      <c r="F33" s="10">
        <v>99.0</v>
      </c>
      <c r="G33" s="10">
        <v>99.0</v>
      </c>
      <c r="H33" s="10">
        <v>99.0</v>
      </c>
      <c r="I33" s="10">
        <v>99.0</v>
      </c>
      <c r="J33" s="10">
        <v>99.0</v>
      </c>
      <c r="K33" s="10">
        <v>99.0</v>
      </c>
      <c r="L33" s="10">
        <v>99.0</v>
      </c>
    </row>
    <row r="34" ht="14.25" customHeight="1">
      <c r="A34" s="8" t="s">
        <v>65</v>
      </c>
      <c r="B34" s="9" t="s">
        <v>66</v>
      </c>
      <c r="C34" s="10">
        <v>99.0</v>
      </c>
      <c r="D34" s="10">
        <v>99.0</v>
      </c>
      <c r="E34" s="10">
        <v>99.0</v>
      </c>
      <c r="F34" s="10">
        <v>99.0</v>
      </c>
      <c r="G34" s="10">
        <v>99.0</v>
      </c>
      <c r="H34" s="10">
        <v>99.0</v>
      </c>
      <c r="I34" s="10">
        <v>99.0</v>
      </c>
      <c r="J34" s="10">
        <v>99.0</v>
      </c>
      <c r="K34" s="10">
        <v>99.0</v>
      </c>
      <c r="L34" s="10">
        <v>99.0</v>
      </c>
    </row>
    <row r="35" ht="14.25" customHeight="1">
      <c r="A35" s="8" t="s">
        <v>67</v>
      </c>
      <c r="B35" s="9" t="s">
        <v>68</v>
      </c>
      <c r="C35" s="10">
        <v>51.90266966213861</v>
      </c>
      <c r="D35" s="10">
        <v>51.40547529134121</v>
      </c>
      <c r="E35" s="10">
        <v>50.91354751055063</v>
      </c>
      <c r="F35" s="10">
        <v>50.42741060864252</v>
      </c>
      <c r="G35" s="10">
        <v>49.94632323036294</v>
      </c>
      <c r="H35" s="10">
        <v>49.47116141983442</v>
      </c>
      <c r="I35" s="10">
        <v>49.00285250185252</v>
      </c>
      <c r="J35" s="10">
        <v>48.54098615117942</v>
      </c>
      <c r="K35" s="10">
        <v>49.02263050913999</v>
      </c>
      <c r="L35" s="10">
        <v>49.50587416487559</v>
      </c>
    </row>
    <row r="36" ht="14.25" customHeight="1">
      <c r="A36" s="8" t="s">
        <v>69</v>
      </c>
      <c r="B36" s="9" t="s">
        <v>70</v>
      </c>
      <c r="C36" s="10">
        <v>58.34740424371461</v>
      </c>
      <c r="D36" s="10">
        <v>58.96254191220278</v>
      </c>
      <c r="E36" s="10">
        <v>59.58147077514261</v>
      </c>
      <c r="F36" s="10">
        <v>60.20415296094384</v>
      </c>
      <c r="G36" s="10">
        <v>60.83054746673272</v>
      </c>
      <c r="H36" s="10">
        <v>61.46061817081424</v>
      </c>
      <c r="I36" s="10">
        <v>62.09432127823801</v>
      </c>
      <c r="J36" s="10">
        <v>62.20712127398453</v>
      </c>
      <c r="K36" s="10">
        <v>62.32256445219154</v>
      </c>
      <c r="L36" s="10">
        <v>62.44097549077742</v>
      </c>
    </row>
    <row r="37" ht="14.25" customHeight="1">
      <c r="A37" s="8" t="s">
        <v>71</v>
      </c>
      <c r="B37" s="9" t="s">
        <v>72</v>
      </c>
      <c r="C37" s="10">
        <v>84.28092353774376</v>
      </c>
      <c r="D37" s="10">
        <v>84.68899796823675</v>
      </c>
      <c r="E37" s="10">
        <v>85.36799010035176</v>
      </c>
      <c r="F37" s="10">
        <v>86.24227407267236</v>
      </c>
      <c r="G37" s="10">
        <v>87.10680255764575</v>
      </c>
      <c r="H37" s="10">
        <v>87.96184758051228</v>
      </c>
      <c r="I37" s="10">
        <v>88.5908710915054</v>
      </c>
      <c r="J37" s="10">
        <v>89.17757393628891</v>
      </c>
      <c r="K37" s="10">
        <v>89.82515425028608</v>
      </c>
      <c r="L37" s="10">
        <v>89.8707246052462</v>
      </c>
    </row>
    <row r="38" ht="14.25" customHeight="1">
      <c r="A38" s="8" t="s">
        <v>73</v>
      </c>
      <c r="B38" s="9" t="s">
        <v>74</v>
      </c>
      <c r="C38" s="10">
        <v>69.27769889702847</v>
      </c>
      <c r="D38" s="10">
        <v>70.35670983915226</v>
      </c>
      <c r="E38" s="10">
        <v>71.40760020727691</v>
      </c>
      <c r="F38" s="10">
        <v>72.43058189038557</v>
      </c>
      <c r="G38" s="10">
        <v>73.42564747409585</v>
      </c>
      <c r="H38" s="10">
        <v>74.39437161707706</v>
      </c>
      <c r="I38" s="10">
        <v>75.33672107312451</v>
      </c>
      <c r="J38" s="10">
        <v>76.25310742222969</v>
      </c>
      <c r="K38" s="10">
        <v>77.06604334484406</v>
      </c>
      <c r="L38" s="10">
        <v>78.00650418016536</v>
      </c>
    </row>
    <row r="39" ht="14.25" customHeight="1">
      <c r="A39" s="8" t="s">
        <v>75</v>
      </c>
      <c r="B39" s="9" t="s">
        <v>76</v>
      </c>
      <c r="C39" s="10">
        <v>64.90954946944235</v>
      </c>
      <c r="D39" s="10">
        <v>65.46150774653722</v>
      </c>
      <c r="E39" s="10">
        <v>65.99804744337558</v>
      </c>
      <c r="F39" s="10">
        <v>66.51931923770603</v>
      </c>
      <c r="G39" s="10">
        <v>67.02480943656464</v>
      </c>
      <c r="H39" s="10">
        <v>67.51535721480118</v>
      </c>
      <c r="I39" s="10">
        <v>67.99048421715516</v>
      </c>
      <c r="J39" s="10">
        <v>68.4506973221862</v>
      </c>
      <c r="K39" s="10">
        <v>68.89556457595519</v>
      </c>
      <c r="L39" s="10">
        <v>69.59255264093079</v>
      </c>
    </row>
    <row r="40" ht="14.25" customHeight="1">
      <c r="A40" s="8" t="s">
        <v>77</v>
      </c>
      <c r="B40" s="9" t="s">
        <v>78</v>
      </c>
      <c r="C40" s="10">
        <v>99.0</v>
      </c>
      <c r="D40" s="10">
        <v>99.0</v>
      </c>
      <c r="E40" s="10">
        <v>99.0</v>
      </c>
      <c r="F40" s="10">
        <v>99.0</v>
      </c>
      <c r="G40" s="10">
        <v>99.0</v>
      </c>
      <c r="H40" s="10">
        <v>99.0</v>
      </c>
      <c r="I40" s="10">
        <v>99.0</v>
      </c>
      <c r="J40" s="10">
        <v>99.0</v>
      </c>
      <c r="K40" s="10">
        <v>99.0</v>
      </c>
      <c r="L40" s="10">
        <v>99.0</v>
      </c>
    </row>
    <row r="41" ht="14.25" customHeight="1">
      <c r="A41" s="8" t="s">
        <v>79</v>
      </c>
      <c r="B41" s="9" t="s">
        <v>80</v>
      </c>
      <c r="C41" s="10">
        <v>95.83742331288344</v>
      </c>
      <c r="D41" s="10">
        <v>95.79969325153375</v>
      </c>
      <c r="E41" s="10">
        <v>95.76196319018406</v>
      </c>
      <c r="F41" s="10">
        <v>95.72423312883437</v>
      </c>
      <c r="G41" s="10">
        <v>95.68650306748468</v>
      </c>
      <c r="H41" s="10">
        <v>95.64877300613499</v>
      </c>
      <c r="I41" s="10">
        <v>95.61104294478528</v>
      </c>
      <c r="J41" s="10">
        <v>95.57331288343559</v>
      </c>
      <c r="K41" s="10">
        <v>95.5355828220859</v>
      </c>
      <c r="L41" s="10">
        <v>95.49785276073621</v>
      </c>
    </row>
    <row r="42" ht="14.25" customHeight="1">
      <c r="A42" s="8" t="s">
        <v>81</v>
      </c>
      <c r="B42" s="9" t="s">
        <v>82</v>
      </c>
      <c r="C42" s="10">
        <v>44.40493389627238</v>
      </c>
      <c r="D42" s="10">
        <v>43.35400147484197</v>
      </c>
      <c r="E42" s="10">
        <v>42.31134620151459</v>
      </c>
      <c r="F42" s="10">
        <v>41.27664503542599</v>
      </c>
      <c r="G42" s="10">
        <v>40.24881610468427</v>
      </c>
      <c r="H42" s="10">
        <v>39.22754772568805</v>
      </c>
      <c r="I42" s="10">
        <v>38.21226712482868</v>
      </c>
      <c r="J42" s="10">
        <v>37.20240255115373</v>
      </c>
      <c r="K42" s="10">
        <v>36.19738081195709</v>
      </c>
      <c r="L42" s="10">
        <v>36.29504358147392</v>
      </c>
    </row>
    <row r="43" ht="14.25" customHeight="1">
      <c r="A43" s="8" t="s">
        <v>83</v>
      </c>
      <c r="B43" s="9" t="s">
        <v>84</v>
      </c>
      <c r="C43" s="10">
        <v>46.47309521620179</v>
      </c>
      <c r="D43" s="10">
        <v>47.12341515767494</v>
      </c>
      <c r="E43" s="10">
        <v>47.78243364459134</v>
      </c>
      <c r="F43" s="10">
        <v>48.44975461322275</v>
      </c>
      <c r="G43" s="10">
        <v>49.12496636844353</v>
      </c>
      <c r="H43" s="10">
        <v>49.80800666387083</v>
      </c>
      <c r="I43" s="10">
        <v>50.49806434541257</v>
      </c>
      <c r="J43" s="10">
        <v>51.19537780586479</v>
      </c>
      <c r="K43" s="10">
        <v>51.89910103873309</v>
      </c>
      <c r="L43" s="10">
        <v>51.99515251513739</v>
      </c>
    </row>
    <row r="44" ht="14.25" customHeight="1">
      <c r="A44" s="8" t="s">
        <v>85</v>
      </c>
      <c r="B44" s="9" t="s">
        <v>86</v>
      </c>
      <c r="C44" s="10">
        <v>99.0</v>
      </c>
      <c r="D44" s="10">
        <v>99.0</v>
      </c>
      <c r="E44" s="10">
        <v>99.0</v>
      </c>
      <c r="F44" s="10">
        <v>99.0</v>
      </c>
      <c r="G44" s="10">
        <v>99.0</v>
      </c>
      <c r="H44" s="10">
        <v>99.0</v>
      </c>
      <c r="I44" s="10">
        <v>99.0</v>
      </c>
      <c r="J44" s="10">
        <v>99.0</v>
      </c>
      <c r="K44" s="10">
        <v>99.0</v>
      </c>
      <c r="L44" s="10">
        <v>99.0</v>
      </c>
    </row>
    <row r="45" ht="14.25" customHeight="1">
      <c r="A45" s="8" t="s">
        <v>87</v>
      </c>
      <c r="B45" s="9" t="s">
        <v>88</v>
      </c>
      <c r="C45" s="10">
        <v>91.20790794816756</v>
      </c>
      <c r="D45" s="10">
        <v>91.9731192427815</v>
      </c>
      <c r="E45" s="10">
        <v>92.70634228816157</v>
      </c>
      <c r="F45" s="10">
        <v>93.40787931933646</v>
      </c>
      <c r="G45" s="10">
        <v>94.0773253482316</v>
      </c>
      <c r="H45" s="10">
        <v>94.7135009826134</v>
      </c>
      <c r="I45" s="10">
        <v>95.31737190166871</v>
      </c>
      <c r="J45" s="10">
        <v>95.89031366067671</v>
      </c>
      <c r="K45" s="10">
        <v>96.69444916072085</v>
      </c>
      <c r="L45" s="10">
        <v>97.64692955325317</v>
      </c>
    </row>
    <row r="46" ht="14.25" customHeight="1">
      <c r="A46" s="8" t="s">
        <v>89</v>
      </c>
      <c r="B46" s="9" t="s">
        <v>90</v>
      </c>
      <c r="C46" s="10">
        <v>99.0</v>
      </c>
      <c r="D46" s="10">
        <v>99.0</v>
      </c>
      <c r="E46" s="10">
        <v>99.0</v>
      </c>
      <c r="F46" s="10">
        <v>99.0</v>
      </c>
      <c r="G46" s="10">
        <v>99.0</v>
      </c>
      <c r="H46" s="10">
        <v>99.0</v>
      </c>
      <c r="I46" s="10">
        <v>99.0</v>
      </c>
      <c r="J46" s="10">
        <v>99.0</v>
      </c>
      <c r="K46" s="10">
        <v>99.0</v>
      </c>
      <c r="L46" s="10">
        <v>99.0</v>
      </c>
    </row>
    <row r="47" ht="14.25" customHeight="1">
      <c r="A47" s="8" t="s">
        <v>91</v>
      </c>
      <c r="B47" s="9" t="s">
        <v>92</v>
      </c>
      <c r="C47" s="10">
        <v>99.0</v>
      </c>
      <c r="D47" s="10">
        <v>99.0</v>
      </c>
      <c r="E47" s="10">
        <v>99.0</v>
      </c>
      <c r="F47" s="10">
        <v>99.0</v>
      </c>
      <c r="G47" s="10">
        <v>99.0</v>
      </c>
      <c r="H47" s="10">
        <v>99.0</v>
      </c>
      <c r="I47" s="10">
        <v>99.0</v>
      </c>
      <c r="J47" s="10">
        <v>99.0</v>
      </c>
      <c r="K47" s="10">
        <v>99.0</v>
      </c>
      <c r="L47" s="10">
        <v>99.0</v>
      </c>
    </row>
    <row r="48" ht="14.25" customHeight="1">
      <c r="A48" s="8" t="s">
        <v>93</v>
      </c>
      <c r="B48" s="9" t="s">
        <v>94</v>
      </c>
      <c r="C48" s="10">
        <v>95.57797688004219</v>
      </c>
      <c r="D48" s="10">
        <v>95.82189584130195</v>
      </c>
      <c r="E48" s="10">
        <v>96.06140925437576</v>
      </c>
      <c r="F48" s="10">
        <v>96.29659225557064</v>
      </c>
      <c r="G48" s="10">
        <v>96.52736454922066</v>
      </c>
      <c r="H48" s="10">
        <v>96.73950122173795</v>
      </c>
      <c r="I48" s="10">
        <v>96.8925246726353</v>
      </c>
      <c r="J48" s="10">
        <v>97.04102366133675</v>
      </c>
      <c r="K48" s="10">
        <v>97.39381729692023</v>
      </c>
      <c r="L48" s="10">
        <v>97.5377603878354</v>
      </c>
    </row>
    <row r="49" ht="14.25" customHeight="1">
      <c r="A49" s="8" t="s">
        <v>95</v>
      </c>
      <c r="B49" s="9" t="s">
        <v>96</v>
      </c>
      <c r="C49" s="10">
        <v>80.99756767844838</v>
      </c>
      <c r="D49" s="10">
        <v>80.20603154868971</v>
      </c>
      <c r="E49" s="10">
        <v>80.13199877818751</v>
      </c>
      <c r="F49" s="10">
        <v>80.14885131696659</v>
      </c>
      <c r="G49" s="10">
        <v>80.16751699346891</v>
      </c>
      <c r="H49" s="10">
        <v>80.18798721866337</v>
      </c>
      <c r="I49" s="10">
        <v>80.21050147698676</v>
      </c>
      <c r="J49" s="10"/>
      <c r="K49" s="10"/>
      <c r="L49" s="10"/>
    </row>
    <row r="50" ht="14.25" customHeight="1">
      <c r="A50" s="8" t="s">
        <v>97</v>
      </c>
      <c r="B50" s="9" t="s">
        <v>98</v>
      </c>
      <c r="C50" s="10">
        <v>69.05953702717817</v>
      </c>
      <c r="D50" s="10">
        <v>70.10704244580812</v>
      </c>
      <c r="E50" s="10">
        <v>71.14958359872627</v>
      </c>
      <c r="F50" s="10">
        <v>72.18665700491931</v>
      </c>
      <c r="G50" s="10">
        <v>73.21776015330734</v>
      </c>
      <c r="H50" s="10">
        <v>73.40681588171503</v>
      </c>
      <c r="I50" s="10">
        <v>73.59586980787607</v>
      </c>
      <c r="J50" s="10">
        <v>73.78451097852029</v>
      </c>
      <c r="K50" s="10">
        <v>73.97232686300605</v>
      </c>
      <c r="L50" s="10"/>
    </row>
    <row r="51" ht="14.25" customHeight="1">
      <c r="A51" s="8" t="s">
        <v>99</v>
      </c>
      <c r="B51" s="9" t="s">
        <v>100</v>
      </c>
      <c r="C51" s="10">
        <v>99.0</v>
      </c>
      <c r="D51" s="10">
        <v>99.0</v>
      </c>
      <c r="E51" s="10">
        <v>99.0</v>
      </c>
      <c r="F51" s="10">
        <v>99.0</v>
      </c>
      <c r="G51" s="10">
        <v>99.0</v>
      </c>
      <c r="H51" s="10">
        <v>99.0</v>
      </c>
      <c r="I51" s="10">
        <v>99.0</v>
      </c>
      <c r="J51" s="10">
        <v>99.0</v>
      </c>
      <c r="K51" s="10">
        <v>99.0</v>
      </c>
      <c r="L51" s="10">
        <v>99.0</v>
      </c>
    </row>
    <row r="52" ht="14.25" customHeight="1">
      <c r="A52" s="8" t="s">
        <v>101</v>
      </c>
      <c r="B52" s="9" t="s">
        <v>102</v>
      </c>
      <c r="C52" s="10">
        <v>98.80678217727858</v>
      </c>
      <c r="D52" s="10">
        <v>99.0</v>
      </c>
      <c r="E52" s="10">
        <v>99.0</v>
      </c>
      <c r="F52" s="10">
        <v>99.0</v>
      </c>
      <c r="G52" s="10">
        <v>99.0</v>
      </c>
      <c r="H52" s="10">
        <v>99.0</v>
      </c>
      <c r="I52" s="10">
        <v>99.0</v>
      </c>
      <c r="J52" s="10">
        <v>99.0</v>
      </c>
      <c r="K52" s="10">
        <v>99.0</v>
      </c>
      <c r="L52" s="10">
        <v>99.0</v>
      </c>
    </row>
    <row r="53" ht="14.25" customHeight="1">
      <c r="A53" s="8" t="s">
        <v>103</v>
      </c>
      <c r="B53" s="9" t="s">
        <v>104</v>
      </c>
      <c r="C53" s="10">
        <v>72.01900030988455</v>
      </c>
      <c r="D53" s="10">
        <v>72.10713700580757</v>
      </c>
      <c r="E53" s="10">
        <v>72.1952372438825</v>
      </c>
      <c r="F53" s="10">
        <v>72.28260477018175</v>
      </c>
      <c r="G53" s="10">
        <v>72.36946589499877</v>
      </c>
      <c r="H53" s="10">
        <v>72.45574287487145</v>
      </c>
      <c r="I53" s="10">
        <v>72.541058171011</v>
      </c>
      <c r="J53" s="10">
        <v>72.62534473673446</v>
      </c>
      <c r="K53" s="10">
        <v>72.73826701556403</v>
      </c>
      <c r="L53" s="10">
        <v>72.85092565059834</v>
      </c>
    </row>
    <row r="54" ht="14.25" customHeight="1">
      <c r="A54" s="8" t="s">
        <v>105</v>
      </c>
      <c r="B54" s="9" t="s">
        <v>106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ht="14.25" customHeight="1">
      <c r="A55" s="8" t="s">
        <v>107</v>
      </c>
      <c r="B55" s="9" t="s">
        <v>108</v>
      </c>
      <c r="C55" s="10">
        <v>93.44703096915312</v>
      </c>
      <c r="D55" s="10">
        <v>93.5635722640959</v>
      </c>
      <c r="E55" s="10">
        <v>93.68002466377503</v>
      </c>
      <c r="F55" s="10">
        <v>93.79618672198357</v>
      </c>
      <c r="G55" s="10">
        <v>93.91317981428082</v>
      </c>
      <c r="H55" s="10">
        <v>94.03072233251935</v>
      </c>
      <c r="I55" s="10">
        <v>94.14848233704656</v>
      </c>
      <c r="J55" s="10">
        <v>94.26627906704813</v>
      </c>
      <c r="K55" s="10">
        <v>94.55759873902056</v>
      </c>
      <c r="L55" s="10">
        <v>94.65270391562143</v>
      </c>
    </row>
    <row r="56" ht="14.25" customHeight="1">
      <c r="A56" s="8" t="s">
        <v>109</v>
      </c>
      <c r="B56" s="9" t="s">
        <v>110</v>
      </c>
      <c r="C56" s="10">
        <v>99.0</v>
      </c>
      <c r="D56" s="10">
        <v>99.0</v>
      </c>
      <c r="E56" s="10">
        <v>99.0</v>
      </c>
      <c r="F56" s="10">
        <v>99.0</v>
      </c>
      <c r="G56" s="10">
        <v>99.0</v>
      </c>
      <c r="H56" s="10"/>
      <c r="I56" s="10"/>
      <c r="J56" s="10"/>
      <c r="K56" s="10"/>
      <c r="L56" s="10"/>
    </row>
    <row r="57" ht="14.25" customHeight="1">
      <c r="A57" s="8" t="s">
        <v>111</v>
      </c>
      <c r="B57" s="9" t="s">
        <v>112</v>
      </c>
      <c r="C57" s="10">
        <v>99.0</v>
      </c>
      <c r="D57" s="10">
        <v>99.0</v>
      </c>
      <c r="E57" s="10">
        <v>99.0</v>
      </c>
      <c r="F57" s="10">
        <v>99.0</v>
      </c>
      <c r="G57" s="10">
        <v>99.0</v>
      </c>
      <c r="H57" s="10">
        <v>99.0</v>
      </c>
      <c r="I57" s="10">
        <v>99.0</v>
      </c>
      <c r="J57" s="10">
        <v>99.0</v>
      </c>
      <c r="K57" s="10">
        <v>99.0</v>
      </c>
      <c r="L57" s="10">
        <v>99.0</v>
      </c>
    </row>
    <row r="58" ht="14.25" customHeight="1">
      <c r="A58" s="8" t="s">
        <v>113</v>
      </c>
      <c r="B58" s="9" t="s">
        <v>114</v>
      </c>
      <c r="C58" s="10">
        <v>99.0</v>
      </c>
      <c r="D58" s="10">
        <v>99.0</v>
      </c>
      <c r="E58" s="10">
        <v>99.0</v>
      </c>
      <c r="F58" s="10">
        <v>99.0</v>
      </c>
      <c r="G58" s="10">
        <v>99.0</v>
      </c>
      <c r="H58" s="10">
        <v>99.0</v>
      </c>
      <c r="I58" s="10">
        <v>99.0</v>
      </c>
      <c r="J58" s="10">
        <v>99.0</v>
      </c>
      <c r="K58" s="10">
        <v>99.0</v>
      </c>
      <c r="L58" s="10">
        <v>99.0</v>
      </c>
    </row>
    <row r="59" ht="14.25" customHeight="1">
      <c r="A59" s="8" t="s">
        <v>115</v>
      </c>
      <c r="B59" s="9" t="s">
        <v>116</v>
      </c>
      <c r="C59" s="10">
        <v>95.9284731313416</v>
      </c>
      <c r="D59" s="10">
        <v>95.57067565568006</v>
      </c>
      <c r="E59" s="10">
        <v>95.21488042059205</v>
      </c>
      <c r="F59" s="10">
        <v>94.8621023027482</v>
      </c>
      <c r="G59" s="10">
        <v>94.51245370041205</v>
      </c>
      <c r="H59" s="10">
        <v>94.1662330163771</v>
      </c>
      <c r="I59" s="10">
        <v>93.82368591242113</v>
      </c>
      <c r="J59" s="10">
        <v>93.84384580392255</v>
      </c>
      <c r="K59" s="10">
        <v>93.86514131874573</v>
      </c>
      <c r="L59" s="10">
        <v>93.88750192714511</v>
      </c>
    </row>
    <row r="60" ht="14.25" customHeight="1">
      <c r="A60" s="8" t="s">
        <v>117</v>
      </c>
      <c r="B60" s="9" t="s">
        <v>118</v>
      </c>
      <c r="C60" s="10">
        <v>36.56622492598282</v>
      </c>
      <c r="D60" s="10">
        <v>36.43863490505685</v>
      </c>
      <c r="E60" s="10">
        <v>36.30309755192949</v>
      </c>
      <c r="F60" s="10">
        <v>36.15953324396379</v>
      </c>
      <c r="G60" s="10">
        <v>36.00739896653361</v>
      </c>
      <c r="H60" s="10">
        <v>35.84708555827795</v>
      </c>
      <c r="I60" s="10">
        <v>35.67805730925298</v>
      </c>
      <c r="J60" s="10">
        <v>35.50023726865368</v>
      </c>
      <c r="K60" s="10">
        <v>35.31309698805909</v>
      </c>
      <c r="L60" s="10">
        <v>35.11656657990258</v>
      </c>
    </row>
    <row r="61" ht="14.25" customHeight="1">
      <c r="A61" s="8" t="s">
        <v>119</v>
      </c>
      <c r="B61" s="9" t="s">
        <v>120</v>
      </c>
      <c r="C61" s="10">
        <v>99.0</v>
      </c>
      <c r="D61" s="10">
        <v>99.0</v>
      </c>
      <c r="E61" s="10">
        <v>99.0</v>
      </c>
      <c r="F61" s="10">
        <v>99.0</v>
      </c>
      <c r="G61" s="10">
        <v>99.0</v>
      </c>
      <c r="H61" s="10">
        <v>99.0</v>
      </c>
      <c r="I61" s="10">
        <v>99.0</v>
      </c>
      <c r="J61" s="10">
        <v>99.0</v>
      </c>
      <c r="K61" s="10">
        <v>99.0</v>
      </c>
      <c r="L61" s="10">
        <v>99.0</v>
      </c>
    </row>
    <row r="62" ht="14.25" customHeight="1">
      <c r="A62" s="8" t="s">
        <v>121</v>
      </c>
      <c r="B62" s="9" t="s">
        <v>122</v>
      </c>
      <c r="C62" s="10">
        <v>75.70827961572186</v>
      </c>
      <c r="D62" s="10">
        <v>75.7452990400743</v>
      </c>
      <c r="E62" s="10">
        <v>75.787045749845</v>
      </c>
      <c r="F62" s="10">
        <v>75.83262976011311</v>
      </c>
      <c r="G62" s="10">
        <v>75.88252190116353</v>
      </c>
      <c r="H62" s="10">
        <v>75.93685010705128</v>
      </c>
      <c r="I62" s="10">
        <v>75.9957463626693</v>
      </c>
      <c r="J62" s="10">
        <v>76.0499221845238</v>
      </c>
      <c r="K62" s="10">
        <v>76.10704703322224</v>
      </c>
      <c r="L62" s="10">
        <v>76.16711707975473</v>
      </c>
    </row>
    <row r="63" ht="14.25" customHeight="1">
      <c r="A63" s="8" t="s">
        <v>123</v>
      </c>
      <c r="B63" s="9" t="s">
        <v>124</v>
      </c>
      <c r="C63" s="10">
        <v>95.4206560631659</v>
      </c>
      <c r="D63" s="10">
        <v>95.4206560631659</v>
      </c>
      <c r="E63" s="10">
        <v>95.4206560631659</v>
      </c>
      <c r="F63" s="10">
        <v>95.4206560631659</v>
      </c>
      <c r="G63" s="10">
        <v>95.4206560631659</v>
      </c>
      <c r="H63" s="10"/>
      <c r="I63" s="10"/>
      <c r="J63" s="10"/>
      <c r="K63" s="10"/>
      <c r="L63" s="10"/>
    </row>
    <row r="64" ht="14.25" customHeight="1">
      <c r="A64" s="8" t="s">
        <v>125</v>
      </c>
      <c r="B64" s="9" t="s">
        <v>126</v>
      </c>
      <c r="C64" s="10">
        <v>94.9309985562416</v>
      </c>
      <c r="D64" s="10">
        <v>95.15800589453389</v>
      </c>
      <c r="E64" s="10">
        <v>95.37474698016975</v>
      </c>
      <c r="F64" s="10">
        <v>95.58145207942955</v>
      </c>
      <c r="G64" s="10">
        <v>95.77818744979696</v>
      </c>
      <c r="H64" s="10">
        <v>95.96420108029287</v>
      </c>
      <c r="I64" s="10">
        <v>96.14011415156743</v>
      </c>
      <c r="J64" s="10">
        <v>96.3065793359028</v>
      </c>
      <c r="K64" s="10">
        <v>96.70461445123813</v>
      </c>
      <c r="L64" s="10">
        <v>96.75452434228042</v>
      </c>
    </row>
    <row r="65" ht="14.25" customHeight="1">
      <c r="A65" s="8" t="s">
        <v>127</v>
      </c>
      <c r="B65" s="9" t="s">
        <v>128</v>
      </c>
      <c r="C65" s="10">
        <v>91.65232578413243</v>
      </c>
      <c r="D65" s="10">
        <v>92.35796856097025</v>
      </c>
      <c r="E65" s="10">
        <v>93.06378157993925</v>
      </c>
      <c r="F65" s="10">
        <v>93.76941473433226</v>
      </c>
      <c r="G65" s="10">
        <v>94.31313765576922</v>
      </c>
      <c r="H65" s="10">
        <v>94.6622656055683</v>
      </c>
      <c r="I65" s="10">
        <v>95.01122462639637</v>
      </c>
      <c r="J65" s="10">
        <v>95.35976470977154</v>
      </c>
      <c r="K65" s="10">
        <v>95.6779995112767</v>
      </c>
      <c r="L65" s="10">
        <v>95.70334323140167</v>
      </c>
    </row>
    <row r="66" ht="14.25" customHeight="1">
      <c r="A66" s="8" t="s">
        <v>129</v>
      </c>
      <c r="B66" s="9" t="s">
        <v>130</v>
      </c>
      <c r="C66" s="10">
        <v>98.63281421137157</v>
      </c>
      <c r="D66" s="10">
        <v>98.6620775238515</v>
      </c>
      <c r="E66" s="10">
        <v>98.69141162577544</v>
      </c>
      <c r="F66" s="10">
        <v>98.72082325010156</v>
      </c>
      <c r="G66" s="10">
        <v>98.75057375600326</v>
      </c>
      <c r="H66" s="10">
        <v>98.75586753378828</v>
      </c>
      <c r="I66" s="10">
        <v>98.76141522263067</v>
      </c>
      <c r="J66" s="10">
        <v>98.76718980417779</v>
      </c>
      <c r="K66" s="10">
        <v>98.76790870294082</v>
      </c>
      <c r="L66" s="10">
        <v>98.76885789946998</v>
      </c>
    </row>
    <row r="67" ht="14.25" customHeight="1">
      <c r="A67" s="8" t="s">
        <v>131</v>
      </c>
      <c r="B67" s="9" t="s">
        <v>132</v>
      </c>
      <c r="C67" s="10">
        <v>93.04596327360778</v>
      </c>
      <c r="D67" s="10">
        <v>94.15292839868768</v>
      </c>
      <c r="E67" s="10">
        <v>95.236218443692</v>
      </c>
      <c r="F67" s="10">
        <v>96.20747610018577</v>
      </c>
      <c r="G67" s="10">
        <v>96.80501288855342</v>
      </c>
      <c r="H67" s="10">
        <v>97.38221093251886</v>
      </c>
      <c r="I67" s="10">
        <v>97.8203480942147</v>
      </c>
      <c r="J67" s="10">
        <v>98.0305089627303</v>
      </c>
      <c r="K67" s="10">
        <v>98.19446830101147</v>
      </c>
      <c r="L67" s="10">
        <v>98.59315998923782</v>
      </c>
    </row>
    <row r="68" ht="14.25" customHeight="1">
      <c r="A68" s="8" t="s">
        <v>133</v>
      </c>
      <c r="B68" s="9" t="s">
        <v>134</v>
      </c>
      <c r="C68" s="10">
        <v>63.67151347561306</v>
      </c>
      <c r="D68" s="10">
        <v>63.92647439027067</v>
      </c>
      <c r="E68" s="10">
        <v>64.17859949982102</v>
      </c>
      <c r="F68" s="10">
        <v>64.42551943239337</v>
      </c>
      <c r="G68" s="10">
        <v>64.66581880818772</v>
      </c>
      <c r="H68" s="10"/>
      <c r="I68" s="10"/>
      <c r="J68" s="10"/>
      <c r="K68" s="10"/>
      <c r="L68" s="10"/>
    </row>
    <row r="69" ht="14.25" customHeight="1">
      <c r="A69" s="8" t="s">
        <v>135</v>
      </c>
      <c r="B69" s="9" t="s">
        <v>136</v>
      </c>
      <c r="C69" s="10">
        <v>50.7051291303828</v>
      </c>
      <c r="D69" s="10">
        <v>51.08356493260912</v>
      </c>
      <c r="E69" s="10">
        <v>51.46509113066712</v>
      </c>
      <c r="F69" s="10">
        <v>51.84971602427002</v>
      </c>
      <c r="G69" s="10"/>
      <c r="H69" s="10"/>
      <c r="I69" s="10"/>
      <c r="J69" s="10"/>
      <c r="K69" s="10"/>
      <c r="L69" s="10"/>
    </row>
    <row r="70" ht="14.25" customHeight="1">
      <c r="A70" s="8" t="s">
        <v>137</v>
      </c>
      <c r="B70" s="9" t="s">
        <v>138</v>
      </c>
      <c r="C70" s="10">
        <v>99.0</v>
      </c>
      <c r="D70" s="10">
        <v>99.0</v>
      </c>
      <c r="E70" s="10">
        <v>99.0</v>
      </c>
      <c r="F70" s="10">
        <v>99.0</v>
      </c>
      <c r="G70" s="10">
        <v>99.0</v>
      </c>
      <c r="H70" s="10">
        <v>99.0</v>
      </c>
      <c r="I70" s="10">
        <v>99.0</v>
      </c>
      <c r="J70" s="10">
        <v>99.0</v>
      </c>
      <c r="K70" s="10">
        <v>99.0</v>
      </c>
      <c r="L70" s="10">
        <v>99.0</v>
      </c>
    </row>
    <row r="71" ht="14.25" customHeight="1">
      <c r="A71" s="8" t="s">
        <v>139</v>
      </c>
      <c r="B71" s="9" t="s">
        <v>140</v>
      </c>
      <c r="C71" s="10">
        <v>64.78115570827184</v>
      </c>
      <c r="D71" s="10">
        <v>65.65703239018458</v>
      </c>
      <c r="E71" s="10">
        <v>66.52576765850864</v>
      </c>
      <c r="F71" s="10">
        <v>67.38995270403646</v>
      </c>
      <c r="G71" s="10">
        <v>68.4020075228117</v>
      </c>
      <c r="H71" s="10">
        <v>69.41459089268132</v>
      </c>
      <c r="I71" s="10">
        <v>70.42753459634685</v>
      </c>
      <c r="J71" s="10">
        <v>71.44067378933228</v>
      </c>
      <c r="K71" s="10">
        <v>72.45384448890944</v>
      </c>
      <c r="L71" s="10">
        <v>73.46720192139584</v>
      </c>
    </row>
    <row r="72" ht="14.25" customHeight="1">
      <c r="A72" s="8" t="s">
        <v>141</v>
      </c>
      <c r="B72" s="9" t="s">
        <v>142</v>
      </c>
      <c r="C72" s="10">
        <v>38.54822834988195</v>
      </c>
      <c r="D72" s="10">
        <v>40.03466472155804</v>
      </c>
      <c r="E72" s="10">
        <v>41.506855299013</v>
      </c>
      <c r="F72" s="10">
        <v>42.96515861971476</v>
      </c>
      <c r="G72" s="10">
        <v>44.40849741677035</v>
      </c>
      <c r="H72" s="10">
        <v>45.8381608718736</v>
      </c>
      <c r="I72" s="10">
        <v>47.2539785569372</v>
      </c>
      <c r="J72" s="10">
        <v>48.65534768216951</v>
      </c>
      <c r="K72" s="10">
        <v>50.04256282352969</v>
      </c>
      <c r="L72" s="10">
        <v>51.51295966432166</v>
      </c>
    </row>
    <row r="73" ht="14.25" customHeight="1">
      <c r="A73" s="8" t="s">
        <v>143</v>
      </c>
      <c r="B73" s="9" t="s">
        <v>144</v>
      </c>
      <c r="C73" s="10">
        <v>94.60216766194416</v>
      </c>
      <c r="D73" s="10">
        <v>94.71283198565136</v>
      </c>
      <c r="E73" s="10">
        <v>94.82000074595376</v>
      </c>
      <c r="F73" s="10">
        <v>94.92390226584062</v>
      </c>
      <c r="G73" s="10">
        <v>95.02474146396189</v>
      </c>
      <c r="H73" s="10">
        <v>95.12252761794396</v>
      </c>
      <c r="I73" s="10">
        <v>95.21725410624701</v>
      </c>
      <c r="J73" s="10">
        <v>95.30892705204872</v>
      </c>
      <c r="K73" s="10"/>
      <c r="L73" s="10"/>
    </row>
    <row r="74" ht="14.25" customHeight="1">
      <c r="A74" s="8" t="s">
        <v>145</v>
      </c>
      <c r="B74" s="9" t="s">
        <v>146</v>
      </c>
      <c r="C74" s="10">
        <v>99.0</v>
      </c>
      <c r="D74" s="10">
        <v>99.0</v>
      </c>
      <c r="E74" s="10">
        <v>99.0</v>
      </c>
      <c r="F74" s="10">
        <v>99.0</v>
      </c>
      <c r="G74" s="10">
        <v>99.0</v>
      </c>
      <c r="H74" s="10">
        <v>99.0</v>
      </c>
      <c r="I74" s="10">
        <v>99.0</v>
      </c>
      <c r="J74" s="10">
        <v>99.0</v>
      </c>
      <c r="K74" s="10">
        <v>99.0</v>
      </c>
      <c r="L74" s="10">
        <v>99.0</v>
      </c>
    </row>
    <row r="75" ht="14.25" customHeight="1">
      <c r="A75" s="8" t="s">
        <v>147</v>
      </c>
      <c r="B75" s="9" t="s">
        <v>148</v>
      </c>
      <c r="C75" s="10">
        <v>95.17632025930558</v>
      </c>
      <c r="D75" s="10">
        <v>95.2100702737926</v>
      </c>
      <c r="E75" s="10">
        <v>95.2442022172526</v>
      </c>
      <c r="F75" s="10">
        <v>95.27863667840683</v>
      </c>
      <c r="G75" s="10">
        <v>95.31330364094663</v>
      </c>
      <c r="H75" s="10">
        <v>95.34827332369102</v>
      </c>
      <c r="I75" s="10">
        <v>95.38331404822547</v>
      </c>
      <c r="J75" s="10">
        <v>95.41835540160203</v>
      </c>
      <c r="K75" s="10">
        <v>95.45346194481395</v>
      </c>
      <c r="L75" s="10">
        <v>95.4886326493094</v>
      </c>
    </row>
    <row r="76" ht="14.25" customHeight="1">
      <c r="A76" s="8" t="s">
        <v>149</v>
      </c>
      <c r="B76" s="9" t="s">
        <v>150</v>
      </c>
      <c r="C76" s="10">
        <v>99.0</v>
      </c>
      <c r="D76" s="10">
        <v>99.0</v>
      </c>
      <c r="E76" s="10">
        <v>99.0</v>
      </c>
      <c r="F76" s="10">
        <v>99.0</v>
      </c>
      <c r="G76" s="10">
        <v>99.0</v>
      </c>
      <c r="H76" s="10">
        <v>99.0</v>
      </c>
      <c r="I76" s="10">
        <v>99.0</v>
      </c>
      <c r="J76" s="10">
        <v>99.0</v>
      </c>
      <c r="K76" s="10">
        <v>99.0</v>
      </c>
      <c r="L76" s="10">
        <v>99.0</v>
      </c>
    </row>
    <row r="77" ht="14.25" customHeight="1">
      <c r="A77" s="8" t="s">
        <v>151</v>
      </c>
      <c r="B77" s="9" t="s">
        <v>152</v>
      </c>
      <c r="C77" s="10">
        <v>99.0</v>
      </c>
      <c r="D77" s="10">
        <v>99.0</v>
      </c>
      <c r="E77" s="10">
        <v>99.0</v>
      </c>
      <c r="F77" s="10">
        <v>99.0</v>
      </c>
      <c r="G77" s="10">
        <v>99.0</v>
      </c>
      <c r="H77" s="10">
        <v>99.0</v>
      </c>
      <c r="I77" s="10">
        <v>99.0</v>
      </c>
      <c r="J77" s="10">
        <v>99.0</v>
      </c>
      <c r="K77" s="10">
        <v>99.0</v>
      </c>
      <c r="L77" s="10">
        <v>99.0</v>
      </c>
    </row>
    <row r="78" ht="14.25" customHeight="1">
      <c r="A78" s="8" t="s">
        <v>153</v>
      </c>
      <c r="B78" s="9" t="s">
        <v>154</v>
      </c>
      <c r="C78" s="10">
        <v>93.55883279899733</v>
      </c>
      <c r="D78" s="10">
        <v>93.65883345513772</v>
      </c>
      <c r="E78" s="10">
        <v>93.75883411127809</v>
      </c>
      <c r="F78" s="10">
        <v>93.85883476741849</v>
      </c>
      <c r="G78" s="10">
        <v>93.95883542355885</v>
      </c>
      <c r="H78" s="10">
        <v>94.05883607969925</v>
      </c>
      <c r="I78" s="10">
        <v>94.15883673583961</v>
      </c>
      <c r="J78" s="10">
        <v>94.25883739198001</v>
      </c>
      <c r="K78" s="10">
        <v>94.35883804812038</v>
      </c>
      <c r="L78" s="10">
        <v>94.35883804812038</v>
      </c>
    </row>
    <row r="79" ht="14.25" customHeight="1">
      <c r="A79" s="8" t="s">
        <v>155</v>
      </c>
      <c r="B79" s="9" t="s">
        <v>156</v>
      </c>
      <c r="C79" s="10">
        <v>99.0</v>
      </c>
      <c r="D79" s="10">
        <v>99.0</v>
      </c>
      <c r="E79" s="10">
        <v>99.0</v>
      </c>
      <c r="F79" s="10">
        <v>99.0</v>
      </c>
      <c r="G79" s="10">
        <v>99.0</v>
      </c>
      <c r="H79" s="10">
        <v>99.0</v>
      </c>
      <c r="I79" s="10">
        <v>99.0</v>
      </c>
      <c r="J79" s="10">
        <v>99.0</v>
      </c>
      <c r="K79" s="10">
        <v>99.0</v>
      </c>
      <c r="L79" s="10">
        <v>99.0</v>
      </c>
    </row>
    <row r="80" ht="14.25" customHeight="1">
      <c r="A80" s="8" t="s">
        <v>157</v>
      </c>
      <c r="B80" s="9" t="s">
        <v>158</v>
      </c>
      <c r="C80" s="10">
        <v>83.99615335181383</v>
      </c>
      <c r="D80" s="10">
        <v>84.13763984071922</v>
      </c>
      <c r="E80" s="10">
        <v>84.53873553592602</v>
      </c>
      <c r="F80" s="10">
        <v>84.9227957610398</v>
      </c>
      <c r="G80" s="10">
        <v>85.29116453389709</v>
      </c>
      <c r="H80" s="10">
        <v>85.64474014272115</v>
      </c>
      <c r="I80" s="10">
        <v>85.98402116586406</v>
      </c>
      <c r="J80" s="10">
        <v>86.31060541476865</v>
      </c>
      <c r="K80" s="10">
        <v>86.62492935619937</v>
      </c>
      <c r="L80" s="10">
        <v>86.92776587677693</v>
      </c>
    </row>
    <row r="81" ht="14.25" customHeight="1">
      <c r="A81" s="8" t="s">
        <v>159</v>
      </c>
      <c r="B81" s="9" t="s">
        <v>160</v>
      </c>
      <c r="C81" s="10">
        <v>80.31101946852966</v>
      </c>
      <c r="D81" s="10">
        <v>80.9175927499699</v>
      </c>
      <c r="E81" s="10">
        <v>81.52086463851113</v>
      </c>
      <c r="F81" s="10">
        <v>82.12054880632698</v>
      </c>
      <c r="G81" s="10">
        <v>82.71685108314215</v>
      </c>
      <c r="H81" s="10">
        <v>83.30966127946832</v>
      </c>
      <c r="I81" s="10">
        <v>83.89902077704814</v>
      </c>
      <c r="J81" s="10">
        <v>84.48498247277917</v>
      </c>
      <c r="K81" s="10">
        <v>85.06744156666926</v>
      </c>
      <c r="L81" s="10">
        <v>85.6466129857002</v>
      </c>
    </row>
    <row r="82" ht="14.25" customHeight="1">
      <c r="A82" s="8" t="s">
        <v>161</v>
      </c>
      <c r="B82" s="9" t="s">
        <v>162</v>
      </c>
      <c r="C82" s="10">
        <v>93.90296231494959</v>
      </c>
      <c r="D82" s="10">
        <v>93.48961052677855</v>
      </c>
      <c r="E82" s="10">
        <v>93.48324266809432</v>
      </c>
      <c r="F82" s="10">
        <v>93.72272213168137</v>
      </c>
      <c r="G82" s="10">
        <v>93.96128893199877</v>
      </c>
      <c r="H82" s="10">
        <v>94.19910859502446</v>
      </c>
      <c r="I82" s="10">
        <v>94.43602693193493</v>
      </c>
      <c r="J82" s="10">
        <v>94.67209990207903</v>
      </c>
      <c r="K82" s="10">
        <v>94.82521606956345</v>
      </c>
      <c r="L82" s="10">
        <v>94.97753546009584</v>
      </c>
    </row>
    <row r="83" ht="14.25" customHeight="1">
      <c r="A83" s="8" t="s">
        <v>163</v>
      </c>
      <c r="B83" s="9" t="s">
        <v>164</v>
      </c>
      <c r="C83" s="10">
        <v>99.0</v>
      </c>
      <c r="D83" s="10">
        <v>99.0</v>
      </c>
      <c r="E83" s="10">
        <v>99.0</v>
      </c>
      <c r="F83" s="10">
        <v>99.0</v>
      </c>
      <c r="G83" s="10">
        <v>99.0</v>
      </c>
      <c r="H83" s="10">
        <v>99.0</v>
      </c>
      <c r="I83" s="10">
        <v>99.0</v>
      </c>
      <c r="J83" s="10">
        <v>99.0</v>
      </c>
      <c r="K83" s="10">
        <v>99.0</v>
      </c>
      <c r="L83" s="10">
        <v>99.0</v>
      </c>
    </row>
    <row r="84" ht="14.25" customHeight="1">
      <c r="A84" s="8" t="s">
        <v>165</v>
      </c>
      <c r="B84" s="9" t="s">
        <v>166</v>
      </c>
      <c r="C84" s="10">
        <v>78.81560651081585</v>
      </c>
      <c r="D84" s="10">
        <v>79.88443043863835</v>
      </c>
      <c r="E84" s="10">
        <v>80.95415386754107</v>
      </c>
      <c r="F84" s="10">
        <v>82.02488343585954</v>
      </c>
      <c r="G84" s="10">
        <v>83.09646612028617</v>
      </c>
      <c r="H84" s="10">
        <v>84.1689996175499</v>
      </c>
      <c r="I84" s="10">
        <v>85.24233710174754</v>
      </c>
      <c r="J84" s="10">
        <v>86.31680847796093</v>
      </c>
      <c r="K84" s="10">
        <v>87.39227103968247</v>
      </c>
      <c r="L84" s="10">
        <v>88.36760954923214</v>
      </c>
    </row>
    <row r="85" ht="14.25" customHeight="1">
      <c r="A85" s="8" t="s">
        <v>167</v>
      </c>
      <c r="B85" s="9" t="s">
        <v>168</v>
      </c>
      <c r="C85" s="10">
        <v>99.0</v>
      </c>
      <c r="D85" s="10">
        <v>99.0</v>
      </c>
      <c r="E85" s="10">
        <v>99.0</v>
      </c>
      <c r="F85" s="10">
        <v>99.0</v>
      </c>
      <c r="G85" s="10">
        <v>99.0</v>
      </c>
      <c r="H85" s="10">
        <v>99.0</v>
      </c>
      <c r="I85" s="10">
        <v>99.0</v>
      </c>
      <c r="J85" s="10">
        <v>99.0</v>
      </c>
      <c r="K85" s="10">
        <v>99.0</v>
      </c>
      <c r="L85" s="10">
        <v>99.0</v>
      </c>
    </row>
    <row r="86" ht="14.25" customHeight="1">
      <c r="A86" s="8" t="s">
        <v>169</v>
      </c>
      <c r="B86" s="9" t="s">
        <v>170</v>
      </c>
      <c r="C86" s="10">
        <v>99.0</v>
      </c>
      <c r="D86" s="10">
        <v>99.0</v>
      </c>
      <c r="E86" s="10">
        <v>99.0</v>
      </c>
      <c r="F86" s="10">
        <v>99.0</v>
      </c>
      <c r="G86" s="10">
        <v>99.0</v>
      </c>
      <c r="H86" s="10">
        <v>99.0</v>
      </c>
      <c r="I86" s="10">
        <v>99.0</v>
      </c>
      <c r="J86" s="10">
        <v>99.0</v>
      </c>
      <c r="K86" s="10">
        <v>99.0</v>
      </c>
      <c r="L86" s="10">
        <v>99.0</v>
      </c>
    </row>
    <row r="87" ht="14.25" customHeight="1">
      <c r="A87" s="8" t="s">
        <v>171</v>
      </c>
      <c r="B87" s="9" t="s">
        <v>172</v>
      </c>
      <c r="C87" s="10">
        <v>99.0</v>
      </c>
      <c r="D87" s="10">
        <v>99.0</v>
      </c>
      <c r="E87" s="10">
        <v>99.0</v>
      </c>
      <c r="F87" s="10">
        <v>99.0</v>
      </c>
      <c r="G87" s="10">
        <v>99.0</v>
      </c>
      <c r="H87" s="10">
        <v>99.0</v>
      </c>
      <c r="I87" s="10">
        <v>99.0</v>
      </c>
      <c r="J87" s="10">
        <v>99.0</v>
      </c>
      <c r="K87" s="10">
        <v>99.0</v>
      </c>
      <c r="L87" s="10">
        <v>99.0</v>
      </c>
    </row>
    <row r="88" ht="14.25" customHeight="1">
      <c r="A88" s="8" t="s">
        <v>173</v>
      </c>
      <c r="B88" s="9" t="s">
        <v>174</v>
      </c>
      <c r="C88" s="10">
        <v>95.62865044355469</v>
      </c>
      <c r="D88" s="10">
        <v>95.62865044355469</v>
      </c>
      <c r="E88" s="10">
        <v>95.62865044355469</v>
      </c>
      <c r="F88" s="10">
        <v>95.62865044355469</v>
      </c>
      <c r="G88" s="10">
        <v>95.62865044355469</v>
      </c>
      <c r="H88" s="10"/>
      <c r="I88" s="10"/>
      <c r="J88" s="10"/>
      <c r="K88" s="10"/>
      <c r="L88" s="10"/>
    </row>
    <row r="89" ht="14.25" customHeight="1">
      <c r="A89" s="8" t="s">
        <v>175</v>
      </c>
      <c r="B89" s="9" t="s">
        <v>176</v>
      </c>
      <c r="C89" s="10">
        <v>99.0</v>
      </c>
      <c r="D89" s="10">
        <v>99.0</v>
      </c>
      <c r="E89" s="10">
        <v>99.0</v>
      </c>
      <c r="F89" s="10">
        <v>99.0</v>
      </c>
      <c r="G89" s="10">
        <v>99.0</v>
      </c>
      <c r="H89" s="10">
        <v>99.0</v>
      </c>
      <c r="I89" s="10">
        <v>99.0</v>
      </c>
      <c r="J89" s="10">
        <v>99.0</v>
      </c>
      <c r="K89" s="10">
        <v>99.0</v>
      </c>
      <c r="L89" s="10">
        <v>99.0</v>
      </c>
    </row>
    <row r="90" ht="14.25" customHeight="1">
      <c r="A90" s="8" t="s">
        <v>177</v>
      </c>
      <c r="B90" s="9" t="s">
        <v>178</v>
      </c>
      <c r="C90" s="10">
        <v>99.0</v>
      </c>
      <c r="D90" s="10">
        <v>99.0</v>
      </c>
      <c r="E90" s="10">
        <v>99.0</v>
      </c>
      <c r="F90" s="10">
        <v>99.0</v>
      </c>
      <c r="G90" s="10">
        <v>99.0</v>
      </c>
      <c r="H90" s="10">
        <v>99.0</v>
      </c>
      <c r="I90" s="10">
        <v>99.0</v>
      </c>
      <c r="J90" s="10">
        <v>99.0</v>
      </c>
      <c r="K90" s="10">
        <v>99.0</v>
      </c>
      <c r="L90" s="10">
        <v>99.0</v>
      </c>
    </row>
    <row r="91" ht="14.25" customHeight="1">
      <c r="A91" s="8" t="s">
        <v>179</v>
      </c>
      <c r="B91" s="9" t="s">
        <v>180</v>
      </c>
      <c r="C91" s="10">
        <v>91.34940945446958</v>
      </c>
      <c r="D91" s="10">
        <v>91.70357301759327</v>
      </c>
      <c r="E91" s="10">
        <v>92.05609181296168</v>
      </c>
      <c r="F91" s="10">
        <v>92.40652645103181</v>
      </c>
      <c r="G91" s="10">
        <v>92.75493845445745</v>
      </c>
      <c r="H91" s="10">
        <v>93.13263571648942</v>
      </c>
      <c r="I91" s="10">
        <v>93.50770908077925</v>
      </c>
      <c r="J91" s="10">
        <v>93.88009353732201</v>
      </c>
      <c r="K91" s="10">
        <v>94.2496190017948</v>
      </c>
      <c r="L91" s="10">
        <v>94.6161088345289</v>
      </c>
    </row>
    <row r="92" ht="14.25" customHeight="1">
      <c r="A92" s="8" t="s">
        <v>181</v>
      </c>
      <c r="B92" s="9" t="s">
        <v>182</v>
      </c>
      <c r="C92" s="10">
        <v>60.48387810291672</v>
      </c>
      <c r="D92" s="10">
        <v>61.64879434105554</v>
      </c>
      <c r="E92" s="10">
        <v>62.82726326556666</v>
      </c>
      <c r="F92" s="10">
        <v>64.01923753988682</v>
      </c>
      <c r="G92" s="10">
        <v>65.22465217816257</v>
      </c>
      <c r="H92" s="10">
        <v>66.44345566597077</v>
      </c>
      <c r="I92" s="10">
        <v>67.67524723342764</v>
      </c>
      <c r="J92" s="10">
        <v>68.9206309644388</v>
      </c>
      <c r="K92" s="10">
        <v>70.17919763254197</v>
      </c>
      <c r="L92" s="10">
        <v>71.45121160945912</v>
      </c>
    </row>
    <row r="93" ht="14.25" customHeight="1">
      <c r="A93" s="8" t="s">
        <v>183</v>
      </c>
      <c r="B93" s="9" t="s">
        <v>184</v>
      </c>
      <c r="C93" s="10">
        <v>60.05416259407756</v>
      </c>
      <c r="D93" s="10">
        <v>60.31300277295238</v>
      </c>
      <c r="E93" s="10">
        <v>60.5565366633757</v>
      </c>
      <c r="F93" s="10">
        <v>60.78445209650814</v>
      </c>
      <c r="G93" s="10">
        <v>60.99670087367809</v>
      </c>
      <c r="H93" s="10">
        <v>61.19347430743544</v>
      </c>
      <c r="I93" s="10">
        <v>61.37447180835598</v>
      </c>
      <c r="J93" s="10">
        <v>61.5396569932828</v>
      </c>
      <c r="K93" s="10">
        <v>61.68898344903032</v>
      </c>
      <c r="L93" s="10">
        <v>61.77613327556767</v>
      </c>
    </row>
    <row r="94" ht="14.25" customHeight="1">
      <c r="A94" s="8" t="s">
        <v>185</v>
      </c>
      <c r="B94" s="9" t="s">
        <v>186</v>
      </c>
      <c r="C94" s="10">
        <v>92.86214825679669</v>
      </c>
      <c r="D94" s="10">
        <v>93.20959095329208</v>
      </c>
      <c r="E94" s="10">
        <v>93.5573128816329</v>
      </c>
      <c r="F94" s="10">
        <v>93.90519554402628</v>
      </c>
      <c r="G94" s="10">
        <v>94.25312672018585</v>
      </c>
      <c r="H94" s="10">
        <v>94.60087172502277</v>
      </c>
      <c r="I94" s="10">
        <v>94.94836382352878</v>
      </c>
      <c r="J94" s="10">
        <v>95.27688502196342</v>
      </c>
      <c r="K94" s="10">
        <v>95.56886613344444</v>
      </c>
      <c r="L94" s="10">
        <v>95.85973727982199</v>
      </c>
    </row>
    <row r="95" ht="14.25" customHeight="1">
      <c r="A95" s="8" t="s">
        <v>187</v>
      </c>
      <c r="B95" s="9" t="s">
        <v>188</v>
      </c>
      <c r="C95" s="10">
        <v>63.63269099890758</v>
      </c>
      <c r="D95" s="10">
        <v>64.10223822876667</v>
      </c>
      <c r="E95" s="10">
        <v>64.56748547497247</v>
      </c>
      <c r="F95" s="10">
        <v>65.02301685079135</v>
      </c>
      <c r="G95" s="10">
        <v>65.46682711302898</v>
      </c>
      <c r="H95" s="10">
        <v>65.89944517692743</v>
      </c>
      <c r="I95" s="10">
        <v>66.32098621415678</v>
      </c>
      <c r="J95" s="10">
        <v>66.69531027489289</v>
      </c>
      <c r="K95" s="10">
        <v>67.06127542178191</v>
      </c>
      <c r="L95" s="10">
        <v>67.41888471601942</v>
      </c>
    </row>
    <row r="96" ht="14.25" customHeight="1">
      <c r="A96" s="8" t="s">
        <v>189</v>
      </c>
      <c r="B96" s="9" t="s">
        <v>190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ht="14.25" customHeight="1">
      <c r="A97" s="8" t="s">
        <v>191</v>
      </c>
      <c r="B97" s="9" t="s">
        <v>192</v>
      </c>
      <c r="C97" s="10">
        <v>91.97672467350579</v>
      </c>
      <c r="D97" s="10">
        <v>92.4330552871736</v>
      </c>
      <c r="E97" s="10">
        <v>92.88200787276956</v>
      </c>
      <c r="F97" s="10">
        <v>93.32389296736879</v>
      </c>
      <c r="G97" s="10">
        <v>93.75866582763321</v>
      </c>
      <c r="H97" s="10">
        <v>94.18628685557013</v>
      </c>
      <c r="I97" s="10">
        <v>94.60684752126826</v>
      </c>
      <c r="J97" s="10">
        <v>95.02044781681165</v>
      </c>
      <c r="K97" s="10">
        <v>95.427066798294</v>
      </c>
      <c r="L97" s="10">
        <v>95.80409487916631</v>
      </c>
    </row>
    <row r="98" ht="14.25" customHeight="1">
      <c r="A98" s="8" t="s">
        <v>193</v>
      </c>
      <c r="B98" s="9" t="s">
        <v>194</v>
      </c>
      <c r="C98" s="10">
        <v>99.0</v>
      </c>
      <c r="D98" s="10">
        <v>99.0</v>
      </c>
      <c r="E98" s="10">
        <v>99.0</v>
      </c>
      <c r="F98" s="10">
        <v>99.0</v>
      </c>
      <c r="G98" s="10">
        <v>99.0</v>
      </c>
      <c r="H98" s="10">
        <v>99.0</v>
      </c>
      <c r="I98" s="10">
        <v>99.0</v>
      </c>
      <c r="J98" s="10">
        <v>99.0</v>
      </c>
      <c r="K98" s="10">
        <v>99.0</v>
      </c>
      <c r="L98" s="10">
        <v>99.0</v>
      </c>
    </row>
    <row r="99" ht="14.25" customHeight="1">
      <c r="A99" s="8" t="s">
        <v>195</v>
      </c>
      <c r="B99" s="9" t="s">
        <v>196</v>
      </c>
      <c r="C99" s="10">
        <v>99.0</v>
      </c>
      <c r="D99" s="10">
        <v>99.0</v>
      </c>
      <c r="E99" s="10">
        <v>99.0</v>
      </c>
      <c r="F99" s="10">
        <v>99.0</v>
      </c>
      <c r="G99" s="10">
        <v>99.0</v>
      </c>
      <c r="H99" s="10">
        <v>99.0</v>
      </c>
      <c r="I99" s="10">
        <v>99.0</v>
      </c>
      <c r="J99" s="10">
        <v>99.0</v>
      </c>
      <c r="K99" s="10">
        <v>99.0</v>
      </c>
      <c r="L99" s="10">
        <v>99.0</v>
      </c>
    </row>
    <row r="100" ht="14.25" customHeight="1">
      <c r="A100" s="8" t="s">
        <v>197</v>
      </c>
      <c r="B100" s="9" t="s">
        <v>198</v>
      </c>
      <c r="C100" s="10">
        <v>87.98236685739862</v>
      </c>
      <c r="D100" s="10">
        <v>88.58737183553446</v>
      </c>
      <c r="E100" s="10">
        <v>89.18930929562826</v>
      </c>
      <c r="F100" s="10">
        <v>89.78796094068157</v>
      </c>
      <c r="G100" s="10">
        <v>90.38318357682108</v>
      </c>
      <c r="H100" s="10">
        <v>90.97467558453852</v>
      </c>
      <c r="I100" s="10">
        <v>91.56222114126292</v>
      </c>
      <c r="J100" s="10">
        <v>92.14560477026046</v>
      </c>
      <c r="K100" s="10">
        <v>92.72465387835781</v>
      </c>
      <c r="L100" s="10">
        <v>93.29909578194882</v>
      </c>
    </row>
    <row r="101" ht="14.25" customHeight="1">
      <c r="A101" s="8" t="s">
        <v>199</v>
      </c>
      <c r="B101" s="9" t="s">
        <v>200</v>
      </c>
      <c r="C101" s="10">
        <v>87.03968854915904</v>
      </c>
      <c r="D101" s="10">
        <v>87.85794205210543</v>
      </c>
      <c r="E101" s="10">
        <v>88.6672494941837</v>
      </c>
      <c r="F101" s="10">
        <v>89.46766706583792</v>
      </c>
      <c r="G101" s="10">
        <v>90.25872108173816</v>
      </c>
      <c r="H101" s="10">
        <v>91.04079718951223</v>
      </c>
      <c r="I101" s="10">
        <v>91.81374215474062</v>
      </c>
      <c r="J101" s="10">
        <v>92.58739569497219</v>
      </c>
      <c r="K101" s="10">
        <v>93.35176581933081</v>
      </c>
      <c r="L101" s="10">
        <v>94.10719255368072</v>
      </c>
    </row>
    <row r="102" ht="14.25" customHeight="1">
      <c r="A102" s="8" t="s">
        <v>201</v>
      </c>
      <c r="B102" s="9" t="s">
        <v>202</v>
      </c>
      <c r="C102" s="10">
        <v>96.49453872267551</v>
      </c>
      <c r="D102" s="10">
        <v>96.64162908213241</v>
      </c>
      <c r="E102" s="10">
        <v>96.78510653763921</v>
      </c>
      <c r="F102" s="10">
        <v>96.92508335612476</v>
      </c>
      <c r="G102" s="10">
        <v>97.06151358842439</v>
      </c>
      <c r="H102" s="10">
        <v>97.1943397209407</v>
      </c>
      <c r="I102" s="10">
        <v>97.32361287201617</v>
      </c>
      <c r="J102" s="10">
        <v>97.44947559389912</v>
      </c>
      <c r="K102" s="10">
        <v>97.57192401907255</v>
      </c>
      <c r="L102" s="10">
        <v>97.69118664224924</v>
      </c>
    </row>
    <row r="103" ht="14.25" customHeight="1">
      <c r="A103" s="8" t="s">
        <v>203</v>
      </c>
      <c r="B103" s="9" t="s">
        <v>204</v>
      </c>
      <c r="C103" s="10">
        <v>92.4602837326776</v>
      </c>
      <c r="D103" s="10">
        <v>93.35601966344551</v>
      </c>
      <c r="E103" s="10">
        <v>94.24759453541674</v>
      </c>
      <c r="F103" s="10">
        <v>95.13617359114993</v>
      </c>
      <c r="G103" s="10">
        <v>96.02130945301026</v>
      </c>
      <c r="H103" s="10">
        <v>96.90240059728633</v>
      </c>
      <c r="I103" s="10">
        <v>97.77878522492742</v>
      </c>
      <c r="J103" s="10">
        <v>98.35990655495982</v>
      </c>
      <c r="K103" s="10">
        <v>98.37115436739528</v>
      </c>
      <c r="L103" s="10">
        <v>98.38285248402094</v>
      </c>
    </row>
    <row r="104" ht="14.25" customHeight="1">
      <c r="A104" s="8" t="s">
        <v>205</v>
      </c>
      <c r="B104" s="9" t="s">
        <v>206</v>
      </c>
      <c r="C104" s="10">
        <v>96.35124120878905</v>
      </c>
      <c r="D104" s="10">
        <v>96.28324272050833</v>
      </c>
      <c r="E104" s="10">
        <v>96.21498164101502</v>
      </c>
      <c r="F104" s="10">
        <v>96.14643777313876</v>
      </c>
      <c r="G104" s="10">
        <v>96.07744323741842</v>
      </c>
      <c r="H104" s="10">
        <v>96.00794412378858</v>
      </c>
      <c r="I104" s="10">
        <v>96.00410448432848</v>
      </c>
      <c r="J104" s="10">
        <v>96.00005774600466</v>
      </c>
      <c r="K104" s="10">
        <v>95.99583146777294</v>
      </c>
      <c r="L104" s="10">
        <v>95.99140503980652</v>
      </c>
    </row>
    <row r="105" ht="14.25" customHeight="1">
      <c r="A105" s="8" t="s">
        <v>207</v>
      </c>
      <c r="B105" s="9" t="s">
        <v>208</v>
      </c>
      <c r="C105" s="10">
        <v>98.6560556451613</v>
      </c>
      <c r="D105" s="10">
        <v>98.79247741935484</v>
      </c>
      <c r="E105" s="10">
        <v>98.92889919354838</v>
      </c>
      <c r="F105" s="10">
        <v>99.0</v>
      </c>
      <c r="G105" s="10">
        <v>99.0</v>
      </c>
      <c r="H105" s="10">
        <v>99.0</v>
      </c>
      <c r="I105" s="10">
        <v>99.0</v>
      </c>
      <c r="J105" s="10">
        <v>99.0</v>
      </c>
      <c r="K105" s="10">
        <v>99.0</v>
      </c>
      <c r="L105" s="10">
        <v>99.0</v>
      </c>
    </row>
    <row r="106" ht="14.25" customHeight="1">
      <c r="A106" s="8" t="s">
        <v>209</v>
      </c>
      <c r="B106" s="9" t="s">
        <v>210</v>
      </c>
      <c r="C106" s="10">
        <v>99.0</v>
      </c>
      <c r="D106" s="10">
        <v>99.0</v>
      </c>
      <c r="E106" s="10">
        <v>99.0</v>
      </c>
      <c r="F106" s="10">
        <v>99.0</v>
      </c>
      <c r="G106" s="10">
        <v>99.0</v>
      </c>
      <c r="H106" s="10">
        <v>99.0</v>
      </c>
      <c r="I106" s="10">
        <v>99.0</v>
      </c>
      <c r="J106" s="10">
        <v>99.0</v>
      </c>
      <c r="K106" s="10">
        <v>99.0</v>
      </c>
      <c r="L106" s="10">
        <v>99.0</v>
      </c>
    </row>
    <row r="107" ht="14.25" customHeight="1">
      <c r="A107" s="8" t="s">
        <v>211</v>
      </c>
      <c r="B107" s="9" t="s">
        <v>212</v>
      </c>
      <c r="C107" s="10">
        <v>99.0</v>
      </c>
      <c r="D107" s="10">
        <v>99.0</v>
      </c>
      <c r="E107" s="10">
        <v>99.0</v>
      </c>
      <c r="F107" s="10">
        <v>99.0</v>
      </c>
      <c r="G107" s="10">
        <v>99.0</v>
      </c>
      <c r="H107" s="10">
        <v>99.0</v>
      </c>
      <c r="I107" s="10">
        <v>99.0</v>
      </c>
      <c r="J107" s="10">
        <v>99.0</v>
      </c>
      <c r="K107" s="10">
        <v>99.0</v>
      </c>
      <c r="L107" s="10">
        <v>99.0</v>
      </c>
    </row>
    <row r="108" ht="14.25" customHeight="1">
      <c r="A108" s="8" t="s">
        <v>213</v>
      </c>
      <c r="B108" s="9" t="s">
        <v>214</v>
      </c>
      <c r="C108" s="10">
        <v>90.13008600257805</v>
      </c>
      <c r="D108" s="10">
        <v>90.27309347407365</v>
      </c>
      <c r="E108" s="10">
        <v>90.41679824558844</v>
      </c>
      <c r="F108" s="10">
        <v>90.56120540615255</v>
      </c>
      <c r="G108" s="10">
        <v>90.706129369907</v>
      </c>
      <c r="H108" s="10">
        <v>90.85157431360342</v>
      </c>
      <c r="I108" s="10">
        <v>90.99735255436597</v>
      </c>
      <c r="J108" s="10">
        <v>91.02994536183716</v>
      </c>
      <c r="K108" s="10">
        <v>91.06403594405327</v>
      </c>
      <c r="L108" s="10">
        <v>91.0996333244216</v>
      </c>
    </row>
    <row r="109" ht="14.25" customHeight="1">
      <c r="A109" s="8" t="s">
        <v>215</v>
      </c>
      <c r="B109" s="9" t="s">
        <v>216</v>
      </c>
      <c r="C109" s="10">
        <v>98.83904118911018</v>
      </c>
      <c r="D109" s="10">
        <v>98.87625381202233</v>
      </c>
      <c r="E109" s="10">
        <v>98.91346643493449</v>
      </c>
      <c r="F109" s="10">
        <v>98.95067905784664</v>
      </c>
      <c r="G109" s="10">
        <v>98.9878916807588</v>
      </c>
      <c r="H109" s="10">
        <v>99.0</v>
      </c>
      <c r="I109" s="10">
        <v>99.0</v>
      </c>
      <c r="J109" s="10">
        <v>99.0</v>
      </c>
      <c r="K109" s="10">
        <v>99.0</v>
      </c>
      <c r="L109" s="10">
        <v>99.0</v>
      </c>
    </row>
    <row r="110" ht="14.25" customHeight="1">
      <c r="A110" s="8" t="s">
        <v>217</v>
      </c>
      <c r="B110" s="9" t="s">
        <v>218</v>
      </c>
      <c r="C110" s="10">
        <v>98.87806772622031</v>
      </c>
      <c r="D110" s="10">
        <v>98.90221054905862</v>
      </c>
      <c r="E110" s="10">
        <v>98.91247592742384</v>
      </c>
      <c r="F110" s="10">
        <v>98.92255222041975</v>
      </c>
      <c r="G110" s="10">
        <v>98.93238858966136</v>
      </c>
      <c r="H110" s="10">
        <v>98.94198745137409</v>
      </c>
      <c r="I110" s="10">
        <v>98.95136620519644</v>
      </c>
      <c r="J110" s="10">
        <v>98.96051423270082</v>
      </c>
      <c r="K110" s="10">
        <v>98.96502865534835</v>
      </c>
      <c r="L110" s="10">
        <v>98.96938517281468</v>
      </c>
    </row>
    <row r="111" ht="14.25" customHeight="1">
      <c r="A111" s="8" t="s">
        <v>219</v>
      </c>
      <c r="B111" s="9" t="s">
        <v>220</v>
      </c>
      <c r="C111" s="10">
        <v>94.63220123162529</v>
      </c>
      <c r="D111" s="10">
        <v>94.82920032257586</v>
      </c>
      <c r="E111" s="10">
        <v>95.02533538611254</v>
      </c>
      <c r="F111" s="10">
        <v>95.2205093968163</v>
      </c>
      <c r="G111" s="10">
        <v>95.4146619777583</v>
      </c>
      <c r="H111" s="10">
        <v>95.42023669819642</v>
      </c>
      <c r="I111" s="10">
        <v>95.42702887112813</v>
      </c>
      <c r="J111" s="10">
        <v>95.43496610171502</v>
      </c>
      <c r="K111" s="10">
        <v>95.44405931501032</v>
      </c>
      <c r="L111" s="10"/>
    </row>
    <row r="112" ht="14.25" customHeight="1">
      <c r="A112" s="8" t="s">
        <v>221</v>
      </c>
      <c r="B112" s="9" t="s">
        <v>222</v>
      </c>
      <c r="C112" s="10">
        <v>56.76310347400701</v>
      </c>
      <c r="D112" s="10">
        <v>57.45347273741672</v>
      </c>
      <c r="E112" s="10">
        <v>58.14116381098968</v>
      </c>
      <c r="F112" s="10">
        <v>58.82594469575953</v>
      </c>
      <c r="G112" s="10">
        <v>59.5075723291909</v>
      </c>
      <c r="H112" s="10">
        <v>60.1861769797416</v>
      </c>
      <c r="I112" s="10">
        <v>60.86078325685607</v>
      </c>
      <c r="J112" s="10">
        <v>61.53186755597394</v>
      </c>
      <c r="K112" s="10">
        <v>62.19883727891289</v>
      </c>
      <c r="L112" s="10">
        <v>62.86177757630002</v>
      </c>
    </row>
    <row r="113" ht="14.25" customHeight="1">
      <c r="A113" s="8" t="s">
        <v>223</v>
      </c>
      <c r="B113" s="9" t="s">
        <v>224</v>
      </c>
      <c r="C113" s="10">
        <v>70.1236598577451</v>
      </c>
      <c r="D113" s="10">
        <v>70.75499850305495</v>
      </c>
      <c r="E113" s="10">
        <v>71.37893316495669</v>
      </c>
      <c r="F113" s="10">
        <v>71.99093232373255</v>
      </c>
      <c r="G113" s="10">
        <v>72.5897573170698</v>
      </c>
      <c r="H113" s="10">
        <v>73.17592210024061</v>
      </c>
      <c r="I113" s="10">
        <v>73.7493673795618</v>
      </c>
      <c r="J113" s="10">
        <v>74.30947728308168</v>
      </c>
      <c r="K113" s="10">
        <v>74.8564949036471</v>
      </c>
      <c r="L113" s="10">
        <v>75.69410553703487</v>
      </c>
    </row>
    <row r="114" ht="14.25" customHeight="1">
      <c r="A114" s="8" t="s">
        <v>225</v>
      </c>
      <c r="B114" s="9" t="s">
        <v>226</v>
      </c>
      <c r="C114" s="10">
        <v>99.0</v>
      </c>
      <c r="D114" s="10">
        <v>99.0</v>
      </c>
      <c r="E114" s="10">
        <v>99.0</v>
      </c>
      <c r="F114" s="10">
        <v>99.0</v>
      </c>
      <c r="G114" s="10">
        <v>99.0</v>
      </c>
      <c r="H114" s="10">
        <v>99.0</v>
      </c>
      <c r="I114" s="10">
        <v>99.0</v>
      </c>
      <c r="J114" s="10">
        <v>99.0</v>
      </c>
      <c r="K114" s="10">
        <v>99.0</v>
      </c>
      <c r="L114" s="10">
        <v>99.0</v>
      </c>
    </row>
    <row r="115" ht="14.25" customHeight="1">
      <c r="A115" s="8" t="s">
        <v>227</v>
      </c>
      <c r="B115" s="9" t="s">
        <v>228</v>
      </c>
      <c r="C115" s="10">
        <v>86.95008652378283</v>
      </c>
      <c r="D115" s="10">
        <v>87.48894590512646</v>
      </c>
      <c r="E115" s="10">
        <v>88.02824825917556</v>
      </c>
      <c r="F115" s="10">
        <v>88.55761794555052</v>
      </c>
      <c r="G115" s="10">
        <v>88.99300047913476</v>
      </c>
      <c r="H115" s="10">
        <v>89.42694309690538</v>
      </c>
      <c r="I115" s="10">
        <v>89.85880809018344</v>
      </c>
      <c r="J115" s="10">
        <v>90.7146537383369</v>
      </c>
      <c r="K115" s="10">
        <v>90.75355703607552</v>
      </c>
      <c r="L115" s="10">
        <v>90.79580709394386</v>
      </c>
    </row>
    <row r="116" ht="14.25" customHeight="1">
      <c r="A116" s="8" t="s">
        <v>229</v>
      </c>
      <c r="B116" s="9" t="s">
        <v>230</v>
      </c>
      <c r="C116" s="10">
        <v>73.68240086503357</v>
      </c>
      <c r="D116" s="10">
        <v>75.58182439520465</v>
      </c>
      <c r="E116" s="10">
        <v>77.46057181151978</v>
      </c>
      <c r="F116" s="10">
        <v>79.59784340788835</v>
      </c>
      <c r="G116" s="10">
        <v>81.4519970802846</v>
      </c>
      <c r="H116" s="10">
        <v>83.28588371724351</v>
      </c>
      <c r="I116" s="10">
        <v>85.09983182097302</v>
      </c>
      <c r="J116" s="10">
        <v>85.2197393366705</v>
      </c>
      <c r="K116" s="10">
        <v>85.34039989100206</v>
      </c>
      <c r="L116" s="10">
        <v>85.46180040069032</v>
      </c>
    </row>
    <row r="117" ht="14.25" customHeight="1">
      <c r="A117" s="8" t="s">
        <v>231</v>
      </c>
      <c r="B117" s="9" t="s">
        <v>232</v>
      </c>
      <c r="C117" s="10">
        <v>98.42415379686639</v>
      </c>
      <c r="D117" s="10">
        <v>98.47659060841326</v>
      </c>
      <c r="E117" s="10">
        <v>98.52896218953086</v>
      </c>
      <c r="F117" s="10">
        <v>98.58136423309418</v>
      </c>
      <c r="G117" s="10">
        <v>98.63375291301442</v>
      </c>
      <c r="H117" s="10">
        <v>98.68606709932938</v>
      </c>
      <c r="I117" s="10">
        <v>98.73825456695793</v>
      </c>
      <c r="J117" s="10">
        <v>98.79026399639244</v>
      </c>
      <c r="K117" s="10">
        <v>98.8420437979057</v>
      </c>
      <c r="L117" s="10">
        <v>98.89352738853718</v>
      </c>
    </row>
    <row r="118" ht="14.25" customHeight="1">
      <c r="A118" s="8" t="s">
        <v>233</v>
      </c>
      <c r="B118" s="9" t="s">
        <v>234</v>
      </c>
      <c r="C118" s="10">
        <v>90.13196192345681</v>
      </c>
      <c r="D118" s="10">
        <v>90.57242311611994</v>
      </c>
      <c r="E118" s="10">
        <v>91.01288430878304</v>
      </c>
      <c r="F118" s="10">
        <v>91.45334550144625</v>
      </c>
      <c r="G118" s="10">
        <v>91.89380669410936</v>
      </c>
      <c r="H118" s="10">
        <v>92.33426788677247</v>
      </c>
      <c r="I118" s="10">
        <v>92.6</v>
      </c>
      <c r="J118" s="10">
        <v>92.6</v>
      </c>
      <c r="K118" s="10">
        <v>92.6</v>
      </c>
      <c r="L118" s="10">
        <v>92.6</v>
      </c>
    </row>
    <row r="119" ht="14.25" customHeight="1">
      <c r="A119" s="8" t="s">
        <v>235</v>
      </c>
      <c r="B119" s="9" t="s">
        <v>236</v>
      </c>
      <c r="C119" s="10">
        <v>70.52984004971408</v>
      </c>
      <c r="D119" s="10">
        <v>70.90917100750853</v>
      </c>
      <c r="E119" s="10">
        <v>71.2930990924663</v>
      </c>
      <c r="F119" s="10">
        <v>71.68120047181095</v>
      </c>
      <c r="G119" s="10">
        <v>72.0738058926457</v>
      </c>
      <c r="H119" s="10">
        <v>72.47256850794592</v>
      </c>
      <c r="I119" s="10">
        <v>72.87737520618747</v>
      </c>
      <c r="J119" s="10">
        <v>73.28891871415763</v>
      </c>
      <c r="K119" s="10">
        <v>73.62876066312795</v>
      </c>
      <c r="L119" s="10">
        <v>73.97070851090864</v>
      </c>
    </row>
    <row r="120" ht="14.25" customHeight="1">
      <c r="A120" s="8" t="s">
        <v>237</v>
      </c>
      <c r="B120" s="9" t="s">
        <v>238</v>
      </c>
      <c r="C120" s="10">
        <v>71.04755986453027</v>
      </c>
      <c r="D120" s="10">
        <v>71.585930812849</v>
      </c>
      <c r="E120" s="10">
        <v>72.11666588268967</v>
      </c>
      <c r="F120" s="10">
        <v>72.63971258147399</v>
      </c>
      <c r="G120" s="10">
        <v>73.15461893839083</v>
      </c>
      <c r="H120" s="10">
        <v>73.66177561144445</v>
      </c>
      <c r="I120" s="10">
        <v>74.1609602963714</v>
      </c>
      <c r="J120" s="10">
        <v>74.65214832066424</v>
      </c>
      <c r="K120" s="10">
        <v>75.13533668415735</v>
      </c>
      <c r="L120" s="10">
        <v>75.6101315165298</v>
      </c>
    </row>
    <row r="121" ht="14.25" customHeight="1">
      <c r="A121" s="8" t="s">
        <v>239</v>
      </c>
      <c r="B121" s="9" t="s">
        <v>240</v>
      </c>
      <c r="C121" s="10">
        <v>95.54167606586975</v>
      </c>
      <c r="D121" s="10">
        <v>96.41164561245205</v>
      </c>
      <c r="E121" s="10">
        <v>97.28161515903457</v>
      </c>
      <c r="F121" s="10">
        <v>98.1515847056171</v>
      </c>
      <c r="G121" s="10">
        <v>99.0</v>
      </c>
      <c r="H121" s="10">
        <v>99.0</v>
      </c>
      <c r="I121" s="10">
        <v>99.0</v>
      </c>
      <c r="J121" s="10">
        <v>99.0</v>
      </c>
      <c r="K121" s="10">
        <v>99.0</v>
      </c>
      <c r="L121" s="10">
        <v>99.0</v>
      </c>
    </row>
    <row r="122" ht="14.25" customHeight="1">
      <c r="A122" s="8" t="s">
        <v>241</v>
      </c>
      <c r="B122" s="9" t="s">
        <v>242</v>
      </c>
      <c r="C122" s="10">
        <v>99.0</v>
      </c>
      <c r="D122" s="10">
        <v>99.0</v>
      </c>
      <c r="E122" s="10">
        <v>99.0</v>
      </c>
      <c r="F122" s="10">
        <v>99.0</v>
      </c>
      <c r="G122" s="10">
        <v>99.0</v>
      </c>
      <c r="H122" s="10">
        <v>99.0</v>
      </c>
      <c r="I122" s="10">
        <v>99.0</v>
      </c>
      <c r="J122" s="10">
        <v>99.0</v>
      </c>
      <c r="K122" s="10">
        <v>99.0</v>
      </c>
      <c r="L122" s="10">
        <v>99.0</v>
      </c>
    </row>
    <row r="123" ht="14.25" customHeight="1">
      <c r="A123" s="8" t="s">
        <v>243</v>
      </c>
      <c r="B123" s="9" t="s">
        <v>244</v>
      </c>
      <c r="C123" s="10">
        <v>95.66101477059208</v>
      </c>
      <c r="D123" s="10">
        <v>96.1335981896812</v>
      </c>
      <c r="E123" s="10">
        <v>96.60413912844082</v>
      </c>
      <c r="F123" s="10">
        <v>97.07374490880589</v>
      </c>
      <c r="G123" s="10">
        <v>97.54206644940588</v>
      </c>
      <c r="H123" s="10">
        <v>97.99053209286708</v>
      </c>
      <c r="I123" s="10">
        <v>98.00147288641912</v>
      </c>
      <c r="J123" s="10">
        <v>98.01335049641092</v>
      </c>
      <c r="K123" s="10">
        <v>98.02597265805721</v>
      </c>
      <c r="L123" s="10">
        <v>98.03940166636342</v>
      </c>
    </row>
    <row r="124" ht="14.25" customHeight="1">
      <c r="A124" s="8" t="s">
        <v>245</v>
      </c>
      <c r="B124" s="9" t="s">
        <v>246</v>
      </c>
      <c r="C124" s="10">
        <v>99.0</v>
      </c>
      <c r="D124" s="10">
        <v>99.0</v>
      </c>
      <c r="E124" s="10">
        <v>99.0</v>
      </c>
      <c r="F124" s="10">
        <v>99.0</v>
      </c>
      <c r="G124" s="10">
        <v>99.0</v>
      </c>
      <c r="H124" s="10">
        <v>99.0</v>
      </c>
      <c r="I124" s="10">
        <v>99.0</v>
      </c>
      <c r="J124" s="10">
        <v>99.0</v>
      </c>
      <c r="K124" s="10">
        <v>99.0</v>
      </c>
      <c r="L124" s="10">
        <v>99.0</v>
      </c>
    </row>
    <row r="125" ht="14.25" customHeight="1">
      <c r="A125" s="8" t="s">
        <v>247</v>
      </c>
      <c r="B125" s="9" t="s">
        <v>248</v>
      </c>
      <c r="C125" s="10">
        <v>46.5189417208381</v>
      </c>
      <c r="D125" s="10">
        <v>47.29910296325797</v>
      </c>
      <c r="E125" s="10">
        <v>48.07744671449802</v>
      </c>
      <c r="F125" s="10">
        <v>48.85435337521699</v>
      </c>
      <c r="G125" s="10">
        <v>49.62931154695119</v>
      </c>
      <c r="H125" s="10">
        <v>50.40224327348255</v>
      </c>
      <c r="I125" s="10">
        <v>51.17220613547952</v>
      </c>
      <c r="J125" s="10">
        <v>51.94002333155034</v>
      </c>
      <c r="K125" s="10">
        <v>52.70430718779674</v>
      </c>
      <c r="L125" s="10">
        <v>53.46588341558257</v>
      </c>
    </row>
    <row r="126" ht="14.25" customHeight="1">
      <c r="A126" s="8" t="s">
        <v>249</v>
      </c>
      <c r="B126" s="9" t="s">
        <v>250</v>
      </c>
      <c r="C126" s="10">
        <v>64.5846233286892</v>
      </c>
      <c r="D126" s="10">
        <v>65.40196362305537</v>
      </c>
      <c r="E126" s="10">
        <v>66.21842923584997</v>
      </c>
      <c r="F126" s="10">
        <v>67.03293470819669</v>
      </c>
      <c r="G126" s="10">
        <v>67.84581515677003</v>
      </c>
      <c r="H126" s="10">
        <v>68.65666130915946</v>
      </c>
      <c r="I126" s="10">
        <v>69.46487562613167</v>
      </c>
      <c r="J126" s="10">
        <v>70.27046908447517</v>
      </c>
      <c r="K126" s="10">
        <v>71.07282907433714</v>
      </c>
      <c r="L126" s="10">
        <v>71.87190978107462</v>
      </c>
    </row>
    <row r="127" ht="14.25" customHeight="1">
      <c r="A127" s="8" t="s">
        <v>251</v>
      </c>
      <c r="B127" s="9" t="s">
        <v>252</v>
      </c>
      <c r="C127" s="10">
        <v>97.03601917657339</v>
      </c>
      <c r="D127" s="10">
        <v>97.04368864681943</v>
      </c>
      <c r="E127" s="10">
        <v>97.0522072204615</v>
      </c>
      <c r="F127" s="10">
        <v>97.06169881784328</v>
      </c>
      <c r="G127" s="10">
        <v>97.0711842734063</v>
      </c>
      <c r="H127" s="10">
        <v>97.08076702518996</v>
      </c>
      <c r="I127" s="10">
        <v>97.0903674239334</v>
      </c>
      <c r="J127" s="10">
        <v>97.09991057086654</v>
      </c>
      <c r="K127" s="10">
        <v>97.1094167919655</v>
      </c>
      <c r="L127" s="10">
        <v>97.15645919139429</v>
      </c>
    </row>
    <row r="128" ht="14.25" customHeight="1">
      <c r="A128" s="8" t="s">
        <v>253</v>
      </c>
      <c r="B128" s="9" t="s">
        <v>254</v>
      </c>
      <c r="C128" s="10">
        <v>98.20509988302095</v>
      </c>
      <c r="D128" s="10">
        <v>98.51123657582538</v>
      </c>
      <c r="E128" s="10">
        <v>98.81424459782225</v>
      </c>
      <c r="F128" s="10">
        <v>99.0</v>
      </c>
      <c r="G128" s="10">
        <v>99.0</v>
      </c>
      <c r="H128" s="10">
        <v>99.0</v>
      </c>
      <c r="I128" s="10">
        <v>99.0</v>
      </c>
      <c r="J128" s="10">
        <v>99.0</v>
      </c>
      <c r="K128" s="10">
        <v>99.0</v>
      </c>
      <c r="L128" s="10">
        <v>99.0</v>
      </c>
    </row>
    <row r="129" ht="14.25" customHeight="1">
      <c r="A129" s="8" t="s">
        <v>255</v>
      </c>
      <c r="B129" s="9" t="s">
        <v>256</v>
      </c>
      <c r="C129" s="10">
        <v>70.25615184764494</v>
      </c>
      <c r="D129" s="10">
        <v>71.78475308711411</v>
      </c>
      <c r="E129" s="10">
        <v>73.30372916860057</v>
      </c>
      <c r="F129" s="10">
        <v>74.81295483553433</v>
      </c>
      <c r="G129" s="10">
        <v>76.31230287787139</v>
      </c>
      <c r="H129" s="10">
        <v>77.80116814941258</v>
      </c>
      <c r="I129" s="10">
        <v>79.27971510511175</v>
      </c>
      <c r="J129" s="10">
        <v>80.7471863901878</v>
      </c>
      <c r="K129" s="10">
        <v>82.20399040180897</v>
      </c>
      <c r="L129" s="10">
        <v>83.64946367010572</v>
      </c>
    </row>
    <row r="130" ht="14.25" customHeight="1">
      <c r="A130" s="8" t="s">
        <v>257</v>
      </c>
      <c r="B130" s="9" t="s">
        <v>258</v>
      </c>
      <c r="C130" s="10">
        <v>99.0</v>
      </c>
      <c r="D130" s="10">
        <v>99.0</v>
      </c>
      <c r="E130" s="10">
        <v>99.0</v>
      </c>
      <c r="F130" s="10">
        <v>99.0</v>
      </c>
      <c r="G130" s="10">
        <v>99.0</v>
      </c>
      <c r="H130" s="10">
        <v>99.0</v>
      </c>
      <c r="I130" s="10">
        <v>99.0</v>
      </c>
      <c r="J130" s="10">
        <v>99.0</v>
      </c>
      <c r="K130" s="10">
        <v>99.0</v>
      </c>
      <c r="L130" s="10">
        <v>99.0</v>
      </c>
    </row>
    <row r="131" ht="14.25" customHeight="1">
      <c r="A131" s="8" t="s">
        <v>259</v>
      </c>
      <c r="B131" s="9" t="s">
        <v>260</v>
      </c>
      <c r="C131" s="10">
        <v>87.12641937490241</v>
      </c>
      <c r="D131" s="10">
        <v>86.88041595652693</v>
      </c>
      <c r="E131" s="10">
        <v>86.63897472900433</v>
      </c>
      <c r="F131" s="10">
        <v>86.4019083763836</v>
      </c>
      <c r="G131" s="10">
        <v>86.16912543400852</v>
      </c>
      <c r="H131" s="10">
        <v>85.94038941013741</v>
      </c>
      <c r="I131" s="10">
        <v>85.71566292792555</v>
      </c>
      <c r="J131" s="10">
        <v>85.49472135568166</v>
      </c>
      <c r="K131" s="10">
        <v>85.27744253942346</v>
      </c>
      <c r="L131" s="10">
        <v>85.0637399586713</v>
      </c>
    </row>
    <row r="132" ht="14.25" customHeight="1">
      <c r="A132" s="8" t="s">
        <v>261</v>
      </c>
      <c r="B132" s="9" t="s">
        <v>262</v>
      </c>
      <c r="C132" s="10">
        <v>99.0</v>
      </c>
      <c r="D132" s="10">
        <v>99.0</v>
      </c>
      <c r="E132" s="10">
        <v>99.0</v>
      </c>
      <c r="F132" s="10">
        <v>99.0</v>
      </c>
      <c r="G132" s="10">
        <v>99.0</v>
      </c>
      <c r="H132" s="10">
        <v>99.0</v>
      </c>
      <c r="I132" s="10">
        <v>99.0</v>
      </c>
      <c r="J132" s="10">
        <v>99.0</v>
      </c>
      <c r="K132" s="10">
        <v>99.0</v>
      </c>
      <c r="L132" s="10">
        <v>99.0</v>
      </c>
    </row>
    <row r="133" ht="14.25" customHeight="1">
      <c r="A133" s="8" t="s">
        <v>263</v>
      </c>
      <c r="B133" s="9" t="s">
        <v>264</v>
      </c>
      <c r="C133" s="10">
        <v>62.125804073415</v>
      </c>
      <c r="D133" s="10">
        <v>63.84797263798736</v>
      </c>
      <c r="E133" s="10">
        <v>65.5766976503204</v>
      </c>
      <c r="F133" s="10">
        <v>67.31084245858455</v>
      </c>
      <c r="G133" s="10">
        <v>69.05089351001547</v>
      </c>
      <c r="H133" s="10">
        <v>70.79534705014328</v>
      </c>
      <c r="I133" s="10">
        <v>72.54431314353721</v>
      </c>
      <c r="J133" s="10">
        <v>74.29672112051792</v>
      </c>
      <c r="K133" s="10">
        <v>76.0527121974143</v>
      </c>
      <c r="L133" s="10">
        <v>77.81125868770445</v>
      </c>
    </row>
    <row r="134" ht="14.25" customHeight="1">
      <c r="A134" s="8" t="s">
        <v>265</v>
      </c>
      <c r="B134" s="9" t="s">
        <v>266</v>
      </c>
      <c r="C134" s="10">
        <v>99.0</v>
      </c>
      <c r="D134" s="10">
        <v>99.0</v>
      </c>
      <c r="E134" s="10">
        <v>99.0</v>
      </c>
      <c r="F134" s="10">
        <v>99.0</v>
      </c>
      <c r="G134" s="10">
        <v>99.0</v>
      </c>
      <c r="H134" s="10">
        <v>99.0</v>
      </c>
      <c r="I134" s="10">
        <v>99.0</v>
      </c>
      <c r="J134" s="10">
        <v>99.0</v>
      </c>
      <c r="K134" s="10">
        <v>99.0</v>
      </c>
      <c r="L134" s="10">
        <v>99.0</v>
      </c>
    </row>
    <row r="135" ht="14.25" customHeight="1">
      <c r="A135" s="8" t="s">
        <v>267</v>
      </c>
      <c r="B135" s="9" t="s">
        <v>268</v>
      </c>
      <c r="C135" s="10">
        <v>97.07112706335838</v>
      </c>
      <c r="D135" s="10">
        <v>96.95446917037842</v>
      </c>
      <c r="E135" s="10">
        <v>96.83781127739846</v>
      </c>
      <c r="F135" s="10">
        <v>96.72115338441853</v>
      </c>
      <c r="G135" s="10">
        <v>96.60449549143857</v>
      </c>
      <c r="H135" s="10">
        <v>96.48783759845861</v>
      </c>
      <c r="I135" s="10">
        <v>96.37117970547868</v>
      </c>
      <c r="J135" s="10">
        <v>96.37117970547868</v>
      </c>
      <c r="K135" s="10">
        <v>96.37117970547868</v>
      </c>
      <c r="L135" s="10">
        <v>96.37117970547868</v>
      </c>
    </row>
    <row r="136" ht="14.25" customHeight="1">
      <c r="A136" s="8" t="s">
        <v>269</v>
      </c>
      <c r="B136" s="9" t="s">
        <v>270</v>
      </c>
      <c r="C136" s="10">
        <v>96.93611421679415</v>
      </c>
      <c r="D136" s="10">
        <v>97.30882021701038</v>
      </c>
      <c r="E136" s="10">
        <v>97.67764770665777</v>
      </c>
      <c r="F136" s="10">
        <v>98.0427474926673</v>
      </c>
      <c r="G136" s="10">
        <v>98.4040199327524</v>
      </c>
      <c r="H136" s="10">
        <v>98.76154545767564</v>
      </c>
      <c r="I136" s="10">
        <v>99.0</v>
      </c>
      <c r="J136" s="10">
        <v>99.0</v>
      </c>
      <c r="K136" s="10">
        <v>99.0</v>
      </c>
      <c r="L136" s="10">
        <v>99.0</v>
      </c>
    </row>
    <row r="137" ht="14.25" customHeight="1">
      <c r="A137" s="8" t="s">
        <v>271</v>
      </c>
      <c r="B137" s="9" t="s">
        <v>272</v>
      </c>
      <c r="C137" s="10">
        <v>90.29717060642244</v>
      </c>
      <c r="D137" s="10">
        <v>90.23621077356603</v>
      </c>
      <c r="E137" s="10">
        <v>90.17525094070963</v>
      </c>
      <c r="F137" s="10">
        <v>90.11429110785323</v>
      </c>
      <c r="G137" s="10">
        <v>90.11429110785323</v>
      </c>
      <c r="H137" s="10">
        <v>90.11429110785323</v>
      </c>
      <c r="I137" s="10">
        <v>90.11429110785323</v>
      </c>
      <c r="J137" s="10">
        <v>90.11429110785323</v>
      </c>
      <c r="K137" s="10"/>
      <c r="L137" s="10"/>
    </row>
    <row r="138" ht="14.25" customHeight="1">
      <c r="A138" s="8" t="s">
        <v>273</v>
      </c>
      <c r="B138" s="9" t="s">
        <v>274</v>
      </c>
      <c r="C138" s="10">
        <v>99.0</v>
      </c>
      <c r="D138" s="10">
        <v>99.0</v>
      </c>
      <c r="E138" s="10">
        <v>99.0</v>
      </c>
      <c r="F138" s="10">
        <v>99.0</v>
      </c>
      <c r="G138" s="10">
        <v>99.0</v>
      </c>
      <c r="H138" s="10">
        <v>99.0</v>
      </c>
      <c r="I138" s="10">
        <v>99.0</v>
      </c>
      <c r="J138" s="10">
        <v>99.0</v>
      </c>
      <c r="K138" s="10">
        <v>99.0</v>
      </c>
      <c r="L138" s="10">
        <v>99.0</v>
      </c>
    </row>
    <row r="139" ht="14.25" customHeight="1">
      <c r="A139" s="8" t="s">
        <v>275</v>
      </c>
      <c r="B139" s="9" t="s">
        <v>276</v>
      </c>
      <c r="C139" s="10">
        <v>77.37377291031648</v>
      </c>
      <c r="D139" s="10">
        <v>78.04927127405918</v>
      </c>
      <c r="E139" s="10">
        <v>78.72452394982982</v>
      </c>
      <c r="F139" s="10">
        <v>79.39908231709089</v>
      </c>
      <c r="G139" s="10">
        <v>80.07253321674919</v>
      </c>
      <c r="H139" s="10">
        <v>80.75155876576824</v>
      </c>
      <c r="I139" s="10">
        <v>81.43561259567146</v>
      </c>
      <c r="J139" s="10">
        <v>82.12411976299585</v>
      </c>
      <c r="K139" s="10">
        <v>82.81580975352522</v>
      </c>
      <c r="L139" s="10">
        <v>83.51122723529024</v>
      </c>
    </row>
    <row r="140" ht="14.25" customHeight="1">
      <c r="A140" s="8" t="s">
        <v>277</v>
      </c>
      <c r="B140" s="9" t="s">
        <v>278</v>
      </c>
      <c r="C140" s="10">
        <v>96.8997474933698</v>
      </c>
      <c r="D140" s="10">
        <v>97.14540908392897</v>
      </c>
      <c r="E140" s="10">
        <v>97.39129590330928</v>
      </c>
      <c r="F140" s="10">
        <v>97.63738506040741</v>
      </c>
      <c r="G140" s="10">
        <v>97.88369495522763</v>
      </c>
      <c r="H140" s="10">
        <v>98.50629846778739</v>
      </c>
      <c r="I140" s="10">
        <v>98.68140383949125</v>
      </c>
      <c r="J140" s="10">
        <v>98.85691236906412</v>
      </c>
      <c r="K140" s="10">
        <v>98.86039399350668</v>
      </c>
      <c r="L140" s="10">
        <v>98.86387363126846</v>
      </c>
    </row>
    <row r="141" ht="14.25" customHeight="1">
      <c r="A141" s="8" t="s">
        <v>279</v>
      </c>
      <c r="B141" s="9" t="s">
        <v>280</v>
      </c>
      <c r="C141" s="10">
        <v>98.06815573706153</v>
      </c>
      <c r="D141" s="10">
        <v>98.06948814920686</v>
      </c>
      <c r="E141" s="10">
        <v>98.0708205613522</v>
      </c>
      <c r="F141" s="10">
        <v>98.07215297349754</v>
      </c>
      <c r="G141" s="10">
        <v>98.07348538564287</v>
      </c>
      <c r="H141" s="10">
        <v>98.0748177977882</v>
      </c>
      <c r="I141" s="10">
        <v>98.07615020993354</v>
      </c>
      <c r="J141" s="10">
        <v>98.07748262207888</v>
      </c>
      <c r="K141" s="10">
        <v>98.07748262207888</v>
      </c>
      <c r="L141" s="10">
        <v>98.07748262207888</v>
      </c>
    </row>
    <row r="142" ht="14.25" customHeight="1">
      <c r="A142" s="8" t="s">
        <v>281</v>
      </c>
      <c r="B142" s="9" t="s">
        <v>282</v>
      </c>
      <c r="C142" s="10">
        <v>78.03476339351668</v>
      </c>
      <c r="D142" s="10">
        <v>79.0494793784529</v>
      </c>
      <c r="E142" s="10">
        <v>80.05386785654242</v>
      </c>
      <c r="F142" s="10">
        <v>81.04816980073402</v>
      </c>
      <c r="G142" s="10">
        <v>82.03181459680196</v>
      </c>
      <c r="H142" s="10">
        <v>84.03338117023605</v>
      </c>
      <c r="I142" s="10">
        <v>84.98185075975813</v>
      </c>
      <c r="J142" s="10">
        <v>85.91876282610548</v>
      </c>
      <c r="K142" s="10">
        <v>86.84331424297051</v>
      </c>
      <c r="L142" s="10">
        <v>87.01945848664464</v>
      </c>
    </row>
    <row r="143" ht="14.25" customHeight="1">
      <c r="A143" s="8" t="s">
        <v>283</v>
      </c>
      <c r="B143" s="9" t="s">
        <v>284</v>
      </c>
      <c r="C143" s="10">
        <v>44.97592538640796</v>
      </c>
      <c r="D143" s="10">
        <v>47.0128819373376</v>
      </c>
      <c r="E143" s="10">
        <v>49.07594286391246</v>
      </c>
      <c r="F143" s="10">
        <v>51.16441418017357</v>
      </c>
      <c r="G143" s="10">
        <v>53.27718268661484</v>
      </c>
      <c r="H143" s="10">
        <v>55.41398589641074</v>
      </c>
      <c r="I143" s="10">
        <v>57.57536807668861</v>
      </c>
      <c r="J143" s="10">
        <v>59.7601108598003</v>
      </c>
      <c r="K143" s="10">
        <v>61.48093159145919</v>
      </c>
      <c r="L143" s="10">
        <v>63.19536575410751</v>
      </c>
    </row>
    <row r="144" ht="14.25" customHeight="1">
      <c r="A144" s="8" t="s">
        <v>285</v>
      </c>
      <c r="B144" s="9" t="s">
        <v>286</v>
      </c>
      <c r="C144" s="10">
        <v>68.2848517202293</v>
      </c>
      <c r="D144" s="10">
        <v>70.00199043714872</v>
      </c>
      <c r="E144" s="10">
        <v>71.74100191923182</v>
      </c>
      <c r="F144" s="10">
        <v>73.50167436795915</v>
      </c>
      <c r="G144" s="10">
        <v>75.28354324528279</v>
      </c>
      <c r="H144" s="10">
        <v>77.08633593956648</v>
      </c>
      <c r="I144" s="10">
        <v>78.9093353384479</v>
      </c>
      <c r="J144" s="10">
        <v>80.7287633167077</v>
      </c>
      <c r="K144" s="10">
        <v>82.33106172472417</v>
      </c>
      <c r="L144" s="10">
        <v>82.38444021370678</v>
      </c>
    </row>
    <row r="145" ht="14.25" customHeight="1">
      <c r="A145" s="8" t="s">
        <v>287</v>
      </c>
      <c r="B145" s="9" t="s">
        <v>288</v>
      </c>
      <c r="C145" s="10">
        <v>82.27515835614122</v>
      </c>
      <c r="D145" s="10">
        <v>82.72342443289506</v>
      </c>
      <c r="E145" s="10">
        <v>83.16192151728492</v>
      </c>
      <c r="F145" s="10">
        <v>83.58640626975492</v>
      </c>
      <c r="G145" s="10">
        <v>83.9961178691327</v>
      </c>
      <c r="H145" s="10">
        <v>84.39131370817849</v>
      </c>
      <c r="I145" s="10">
        <v>84.8394848926625</v>
      </c>
      <c r="J145" s="10">
        <v>85.27519175427668</v>
      </c>
      <c r="K145" s="10">
        <v>85.6986632731503</v>
      </c>
      <c r="L145" s="10">
        <v>85.9121143953787</v>
      </c>
    </row>
    <row r="146" ht="14.25" customHeight="1">
      <c r="A146" s="8" t="s">
        <v>289</v>
      </c>
      <c r="B146" s="9" t="s">
        <v>290</v>
      </c>
      <c r="C146" s="10">
        <v>97.14714791535374</v>
      </c>
      <c r="D146" s="10">
        <v>97.07525208132941</v>
      </c>
      <c r="E146" s="10">
        <v>97.00335624730505</v>
      </c>
      <c r="F146" s="10">
        <v>97.00335624730505</v>
      </c>
      <c r="G146" s="10">
        <v>97.00335624730505</v>
      </c>
      <c r="H146" s="10">
        <v>97.00335624730505</v>
      </c>
      <c r="I146" s="10">
        <v>97.00335624730505</v>
      </c>
      <c r="J146" s="10"/>
      <c r="K146" s="10"/>
      <c r="L146" s="10"/>
    </row>
    <row r="147" ht="14.25" customHeight="1">
      <c r="A147" s="8" t="s">
        <v>291</v>
      </c>
      <c r="B147" s="9" t="s">
        <v>292</v>
      </c>
      <c r="C147" s="10">
        <v>87.22355971319436</v>
      </c>
      <c r="D147" s="10">
        <v>87.75332523573552</v>
      </c>
      <c r="E147" s="10">
        <v>88.27558062996505</v>
      </c>
      <c r="F147" s="10">
        <v>88.79020538891848</v>
      </c>
      <c r="G147" s="10">
        <v>89.29699309432642</v>
      </c>
      <c r="H147" s="10">
        <v>89.7957758492581</v>
      </c>
      <c r="I147" s="10">
        <v>90.28636635218247</v>
      </c>
      <c r="J147" s="10">
        <v>90.76858353273748</v>
      </c>
      <c r="K147" s="10">
        <v>91.24225081280616</v>
      </c>
      <c r="L147" s="10">
        <v>91.23509650735038</v>
      </c>
    </row>
    <row r="148" ht="14.25" customHeight="1">
      <c r="A148" s="8" t="s">
        <v>293</v>
      </c>
      <c r="B148" s="9" t="s">
        <v>294</v>
      </c>
      <c r="C148" s="10">
        <v>99.0</v>
      </c>
      <c r="D148" s="10">
        <v>99.0</v>
      </c>
      <c r="E148" s="10">
        <v>99.0</v>
      </c>
      <c r="F148" s="10">
        <v>99.0</v>
      </c>
      <c r="G148" s="10">
        <v>99.0</v>
      </c>
      <c r="H148" s="10">
        <v>99.0</v>
      </c>
      <c r="I148" s="10">
        <v>99.0</v>
      </c>
      <c r="J148" s="10">
        <v>99.0</v>
      </c>
      <c r="K148" s="10">
        <v>99.0</v>
      </c>
      <c r="L148" s="10">
        <v>99.0</v>
      </c>
    </row>
    <row r="149" ht="14.25" customHeight="1">
      <c r="A149" s="8" t="s">
        <v>295</v>
      </c>
      <c r="B149" s="9" t="s">
        <v>296</v>
      </c>
      <c r="C149" s="10">
        <v>97.67185366018657</v>
      </c>
      <c r="D149" s="10">
        <v>97.90520607618441</v>
      </c>
      <c r="E149" s="10">
        <v>98.13855849218231</v>
      </c>
      <c r="F149" s="10">
        <v>98.37191090818015</v>
      </c>
      <c r="G149" s="10">
        <v>98.60526332417805</v>
      </c>
      <c r="H149" s="10">
        <v>98.8386157401759</v>
      </c>
      <c r="I149" s="10">
        <v>99.0</v>
      </c>
      <c r="J149" s="10">
        <v>99.0</v>
      </c>
      <c r="K149" s="10">
        <v>99.0</v>
      </c>
      <c r="L149" s="10">
        <v>99.0</v>
      </c>
    </row>
    <row r="150" ht="14.25" customHeight="1">
      <c r="A150" s="8" t="s">
        <v>297</v>
      </c>
      <c r="B150" s="9" t="s">
        <v>298</v>
      </c>
      <c r="C150" s="10">
        <v>99.0</v>
      </c>
      <c r="D150" s="10">
        <v>99.0</v>
      </c>
      <c r="E150" s="10">
        <v>99.0</v>
      </c>
      <c r="F150" s="10">
        <v>99.0</v>
      </c>
      <c r="G150" s="10">
        <v>99.0</v>
      </c>
      <c r="H150" s="10">
        <v>99.0</v>
      </c>
      <c r="I150" s="10">
        <v>99.0</v>
      </c>
      <c r="J150" s="10">
        <v>99.0</v>
      </c>
      <c r="K150" s="10">
        <v>99.0</v>
      </c>
      <c r="L150" s="10">
        <v>99.0</v>
      </c>
    </row>
    <row r="151" ht="14.25" customHeight="1">
      <c r="A151" s="8" t="s">
        <v>299</v>
      </c>
      <c r="B151" s="9" t="s">
        <v>300</v>
      </c>
      <c r="C151" s="10">
        <v>81.2287535155048</v>
      </c>
      <c r="D151" s="10">
        <v>81.29213788833037</v>
      </c>
      <c r="E151" s="10">
        <v>81.3531277628567</v>
      </c>
      <c r="F151" s="10">
        <v>81.41597244764385</v>
      </c>
      <c r="G151" s="10">
        <v>81.43567693120036</v>
      </c>
      <c r="H151" s="10">
        <v>81.52108696825323</v>
      </c>
      <c r="I151" s="10">
        <v>81.61223897355862</v>
      </c>
      <c r="J151" s="10">
        <v>81.70875397460331</v>
      </c>
      <c r="K151" s="10"/>
      <c r="L151" s="10"/>
    </row>
    <row r="152" ht="14.25" customHeight="1">
      <c r="A152" s="8" t="s">
        <v>301</v>
      </c>
      <c r="B152" s="9" t="s">
        <v>302</v>
      </c>
      <c r="C152" s="10">
        <v>44.96113463628537</v>
      </c>
      <c r="D152" s="10">
        <v>45.39465276509776</v>
      </c>
      <c r="E152" s="10">
        <v>45.81592648726737</v>
      </c>
      <c r="F152" s="10">
        <v>46.22361823744107</v>
      </c>
      <c r="G152" s="10">
        <v>46.61847744225922</v>
      </c>
      <c r="H152" s="10">
        <v>46.99924129724184</v>
      </c>
      <c r="I152" s="10">
        <v>47.36668482156787</v>
      </c>
      <c r="J152" s="10">
        <v>47.72058004354762</v>
      </c>
      <c r="K152" s="10">
        <v>48.06025264519902</v>
      </c>
      <c r="L152" s="10">
        <v>48.89607048852097</v>
      </c>
    </row>
    <row r="153" ht="14.25" customHeight="1">
      <c r="A153" s="8" t="s">
        <v>303</v>
      </c>
      <c r="B153" s="9" t="s">
        <v>304</v>
      </c>
      <c r="C153" s="10">
        <v>64.92356738687334</v>
      </c>
      <c r="D153" s="10">
        <v>66.55300610541948</v>
      </c>
      <c r="E153" s="10">
        <v>68.18454250496606</v>
      </c>
      <c r="F153" s="10">
        <v>69.81722688100425</v>
      </c>
      <c r="G153" s="10">
        <v>71.45173552214897</v>
      </c>
      <c r="H153" s="10">
        <v>73.0874579051768</v>
      </c>
      <c r="I153" s="10">
        <v>74.72412633045512</v>
      </c>
      <c r="J153" s="10">
        <v>76.36179026979597</v>
      </c>
      <c r="K153" s="10">
        <v>78.00019357483741</v>
      </c>
      <c r="L153" s="10">
        <v>79.63940859484839</v>
      </c>
    </row>
    <row r="154" ht="14.25" customHeight="1">
      <c r="A154" s="8" t="s">
        <v>305</v>
      </c>
      <c r="B154" s="9" t="s">
        <v>306</v>
      </c>
      <c r="C154" s="10">
        <v>97.90377101933706</v>
      </c>
      <c r="D154" s="10">
        <v>97.75495521250241</v>
      </c>
      <c r="E154" s="10">
        <v>97.6061394056677</v>
      </c>
      <c r="F154" s="10">
        <v>97.45732359883306</v>
      </c>
      <c r="G154" s="10">
        <v>97.30850779199841</v>
      </c>
      <c r="H154" s="10">
        <v>97.1596919851637</v>
      </c>
      <c r="I154" s="10">
        <v>97.01087617832906</v>
      </c>
      <c r="J154" s="10">
        <v>97.01087617832906</v>
      </c>
      <c r="K154" s="10">
        <v>97.01087617832906</v>
      </c>
      <c r="L154" s="10">
        <v>97.01087617832906</v>
      </c>
    </row>
    <row r="155" ht="14.25" customHeight="1">
      <c r="A155" s="8" t="s">
        <v>307</v>
      </c>
      <c r="B155" s="9" t="s">
        <v>308</v>
      </c>
      <c r="C155" s="10">
        <v>97.39826776244816</v>
      </c>
      <c r="D155" s="10">
        <v>97.45189183185342</v>
      </c>
      <c r="E155" s="10">
        <v>97.50570698284481</v>
      </c>
      <c r="F155" s="10">
        <v>97.55985027435574</v>
      </c>
      <c r="G155" s="10">
        <v>97.61445740104816</v>
      </c>
      <c r="H155" s="10">
        <v>97.66967301947518</v>
      </c>
      <c r="I155" s="10">
        <v>97.72562379243364</v>
      </c>
      <c r="J155" s="10">
        <v>97.78244199603813</v>
      </c>
      <c r="K155" s="10">
        <v>97.8402722140626</v>
      </c>
      <c r="L155" s="10">
        <v>97.84256181010902</v>
      </c>
    </row>
    <row r="156" ht="14.25" customHeight="1">
      <c r="A156" s="8" t="s">
        <v>309</v>
      </c>
      <c r="B156" s="9" t="s">
        <v>310</v>
      </c>
      <c r="C156" s="10">
        <v>99.0</v>
      </c>
      <c r="D156" s="10">
        <v>99.0</v>
      </c>
      <c r="E156" s="10">
        <v>99.0</v>
      </c>
      <c r="F156" s="10">
        <v>99.0</v>
      </c>
      <c r="G156" s="10">
        <v>99.0</v>
      </c>
      <c r="H156" s="10">
        <v>99.0</v>
      </c>
      <c r="I156" s="10">
        <v>99.0</v>
      </c>
      <c r="J156" s="10">
        <v>99.0</v>
      </c>
      <c r="K156" s="10">
        <v>99.0</v>
      </c>
      <c r="L156" s="10">
        <v>99.0</v>
      </c>
    </row>
    <row r="157" ht="14.25" customHeight="1">
      <c r="A157" s="8" t="s">
        <v>311</v>
      </c>
      <c r="B157" s="9" t="s">
        <v>312</v>
      </c>
      <c r="C157" s="10">
        <v>99.0</v>
      </c>
      <c r="D157" s="10">
        <v>99.0</v>
      </c>
      <c r="E157" s="10">
        <v>99.0</v>
      </c>
      <c r="F157" s="10">
        <v>99.0</v>
      </c>
      <c r="G157" s="10">
        <v>99.0</v>
      </c>
      <c r="H157" s="10">
        <v>99.0</v>
      </c>
      <c r="I157" s="10">
        <v>99.0</v>
      </c>
      <c r="J157" s="10">
        <v>99.0</v>
      </c>
      <c r="K157" s="10">
        <v>99.0</v>
      </c>
      <c r="L157" s="10">
        <v>99.0</v>
      </c>
    </row>
    <row r="158" ht="14.25" customHeight="1">
      <c r="A158" s="8" t="s">
        <v>313</v>
      </c>
      <c r="B158" s="9" t="s">
        <v>314</v>
      </c>
      <c r="C158" s="10">
        <v>89.29448068852044</v>
      </c>
      <c r="D158" s="10">
        <v>89.7744713393211</v>
      </c>
      <c r="E158" s="10">
        <v>90.23848700010105</v>
      </c>
      <c r="F158" s="10">
        <v>90.68742465759966</v>
      </c>
      <c r="G158" s="10">
        <v>91.11489470447594</v>
      </c>
      <c r="H158" s="10">
        <v>91.52309539381034</v>
      </c>
      <c r="I158" s="10">
        <v>91.88826398239746</v>
      </c>
      <c r="J158" s="10">
        <v>92.16803133331922</v>
      </c>
      <c r="K158" s="10">
        <v>92.30971939334508</v>
      </c>
      <c r="L158" s="10">
        <v>92.43996876473012</v>
      </c>
    </row>
    <row r="159" ht="14.25" customHeight="1">
      <c r="A159" s="8" t="s">
        <v>315</v>
      </c>
      <c r="B159" s="9" t="s">
        <v>316</v>
      </c>
      <c r="C159" s="10">
        <v>89.28197133146185</v>
      </c>
      <c r="D159" s="10">
        <v>89.43748479484492</v>
      </c>
      <c r="E159" s="10">
        <v>89.59124695036155</v>
      </c>
      <c r="F159" s="10">
        <v>89.74324598553436</v>
      </c>
      <c r="G159" s="10">
        <v>89.89341028013807</v>
      </c>
      <c r="H159" s="10">
        <v>90.04259791152283</v>
      </c>
      <c r="I159" s="10">
        <v>90.19065035118737</v>
      </c>
      <c r="J159" s="10">
        <v>90.33733694930841</v>
      </c>
      <c r="K159" s="10">
        <v>90.48246306441516</v>
      </c>
      <c r="L159" s="10">
        <v>90.6257538469708</v>
      </c>
    </row>
    <row r="160" ht="14.25" customHeight="1">
      <c r="A160" s="8" t="s">
        <v>317</v>
      </c>
      <c r="B160" s="9" t="s">
        <v>318</v>
      </c>
      <c r="C160" s="10">
        <v>99.0</v>
      </c>
      <c r="D160" s="10">
        <v>99.0</v>
      </c>
      <c r="E160" s="10">
        <v>99.0</v>
      </c>
      <c r="F160" s="10">
        <v>99.0</v>
      </c>
      <c r="G160" s="10">
        <v>99.0</v>
      </c>
      <c r="H160" s="10">
        <v>99.0</v>
      </c>
      <c r="I160" s="10">
        <v>99.0</v>
      </c>
      <c r="J160" s="10">
        <v>99.0</v>
      </c>
      <c r="K160" s="10">
        <v>99.0</v>
      </c>
      <c r="L160" s="10">
        <v>99.0</v>
      </c>
    </row>
    <row r="161" ht="14.25" customHeight="1">
      <c r="A161" s="8" t="s">
        <v>319</v>
      </c>
      <c r="B161" s="9" t="s">
        <v>320</v>
      </c>
      <c r="C161" s="10">
        <v>92.55433284618582</v>
      </c>
      <c r="D161" s="10">
        <v>92.735108577371</v>
      </c>
      <c r="E161" s="10">
        <v>92.91379864502076</v>
      </c>
      <c r="F161" s="10">
        <v>93.2426372617578</v>
      </c>
      <c r="G161" s="10">
        <v>93.57005378082489</v>
      </c>
      <c r="H161" s="10">
        <v>93.89583730305861</v>
      </c>
      <c r="I161" s="10">
        <v>94.182498815948</v>
      </c>
      <c r="J161" s="10">
        <v>94.39579260938943</v>
      </c>
      <c r="K161" s="10">
        <v>94.6061069769306</v>
      </c>
      <c r="L161" s="10">
        <v>94.6515652983232</v>
      </c>
    </row>
    <row r="162" ht="14.25" customHeight="1">
      <c r="A162" s="8" t="s">
        <v>321</v>
      </c>
      <c r="B162" s="9" t="s">
        <v>322</v>
      </c>
      <c r="C162" s="10">
        <v>40.92716679406764</v>
      </c>
      <c r="D162" s="10">
        <v>41.94669859659336</v>
      </c>
      <c r="E162" s="10">
        <v>42.96876517344133</v>
      </c>
      <c r="F162" s="10">
        <v>43.99303300088881</v>
      </c>
      <c r="G162" s="10">
        <v>45.01917832339479</v>
      </c>
      <c r="H162" s="10">
        <v>46.04734162591765</v>
      </c>
      <c r="I162" s="10">
        <v>47.07672559010862</v>
      </c>
      <c r="J162" s="10">
        <v>48.10702260751459</v>
      </c>
      <c r="K162" s="10">
        <v>49.16923268104179</v>
      </c>
      <c r="L162" s="10">
        <v>50.23518094349016</v>
      </c>
    </row>
    <row r="163" ht="14.25" customHeight="1">
      <c r="A163" s="8" t="s">
        <v>323</v>
      </c>
      <c r="B163" s="9" t="s">
        <v>324</v>
      </c>
      <c r="C163" s="10">
        <v>93.61879681787396</v>
      </c>
      <c r="D163" s="10">
        <v>94.8251554833038</v>
      </c>
      <c r="E163" s="10">
        <v>96.01860861161231</v>
      </c>
      <c r="F163" s="10">
        <v>97.19929685258563</v>
      </c>
      <c r="G163" s="10">
        <v>98.36716941377564</v>
      </c>
      <c r="H163" s="10">
        <v>99.0</v>
      </c>
      <c r="I163" s="10">
        <v>99.0</v>
      </c>
      <c r="J163" s="10">
        <v>99.0</v>
      </c>
      <c r="K163" s="10">
        <v>99.0</v>
      </c>
      <c r="L163" s="10">
        <v>99.0</v>
      </c>
    </row>
    <row r="164" ht="14.25" customHeight="1">
      <c r="A164" s="8" t="s">
        <v>325</v>
      </c>
      <c r="B164" s="9" t="s">
        <v>326</v>
      </c>
      <c r="C164" s="10">
        <v>89.30003451686851</v>
      </c>
      <c r="D164" s="10">
        <v>89.92725534129318</v>
      </c>
      <c r="E164" s="10">
        <v>90.55041627891453</v>
      </c>
      <c r="F164" s="10">
        <v>91.16910594979925</v>
      </c>
      <c r="G164" s="10">
        <v>91.7835691514677</v>
      </c>
      <c r="H164" s="10">
        <v>92.39508371199625</v>
      </c>
      <c r="I164" s="10">
        <v>93.0032366873463</v>
      </c>
      <c r="J164" s="10">
        <v>93.60796814499027</v>
      </c>
      <c r="K164" s="10">
        <v>94.20889819395417</v>
      </c>
      <c r="L164" s="10">
        <v>94.80580931519529</v>
      </c>
    </row>
    <row r="165" ht="14.25" customHeight="1">
      <c r="A165" s="8" t="s">
        <v>327</v>
      </c>
      <c r="B165" s="9" t="s">
        <v>328</v>
      </c>
      <c r="C165" s="10">
        <v>91.1427386256371</v>
      </c>
      <c r="D165" s="10">
        <v>91.56067672416138</v>
      </c>
      <c r="E165" s="10">
        <v>91.97735055901467</v>
      </c>
      <c r="F165" s="10">
        <v>92.39268341832408</v>
      </c>
      <c r="G165" s="10">
        <v>92.8078557116294</v>
      </c>
      <c r="H165" s="10">
        <v>93.22283512070196</v>
      </c>
      <c r="I165" s="10">
        <v>93.63735675014733</v>
      </c>
      <c r="J165" s="10">
        <v>94.05123275039841</v>
      </c>
      <c r="K165" s="10">
        <v>94.46428058831064</v>
      </c>
      <c r="L165" s="10">
        <v>94.87631135858928</v>
      </c>
    </row>
    <row r="166" ht="14.25" customHeight="1">
      <c r="A166" s="8" t="s">
        <v>329</v>
      </c>
      <c r="B166" s="9" t="s">
        <v>330</v>
      </c>
      <c r="C166" s="10">
        <v>96.23715299006196</v>
      </c>
      <c r="D166" s="10">
        <v>95.50208250589486</v>
      </c>
      <c r="E166" s="10">
        <v>94.76457298039031</v>
      </c>
      <c r="F166" s="10">
        <v>94.02673268230365</v>
      </c>
      <c r="G166" s="10">
        <v>93.28948967232648</v>
      </c>
      <c r="H166" s="10">
        <v>92.55354831389445</v>
      </c>
      <c r="I166" s="10">
        <v>91.81968718083712</v>
      </c>
      <c r="J166" s="10">
        <v>91.08880580862835</v>
      </c>
      <c r="K166" s="10">
        <v>90.3615703186745</v>
      </c>
      <c r="L166" s="10">
        <v>90.36958009592065</v>
      </c>
    </row>
    <row r="167" ht="14.25" customHeight="1">
      <c r="A167" s="8" t="s">
        <v>331</v>
      </c>
      <c r="B167" s="9" t="s">
        <v>332</v>
      </c>
      <c r="C167" s="10">
        <v>99.0</v>
      </c>
      <c r="D167" s="10">
        <v>99.0</v>
      </c>
      <c r="E167" s="10">
        <v>99.0</v>
      </c>
      <c r="F167" s="10">
        <v>99.0</v>
      </c>
      <c r="G167" s="10">
        <v>99.0</v>
      </c>
      <c r="H167" s="10">
        <v>99.0</v>
      </c>
      <c r="I167" s="10">
        <v>99.0</v>
      </c>
      <c r="J167" s="10">
        <v>99.0</v>
      </c>
      <c r="K167" s="10">
        <v>99.0</v>
      </c>
      <c r="L167" s="10">
        <v>99.0</v>
      </c>
    </row>
    <row r="168" ht="14.25" customHeight="1">
      <c r="A168" s="8" t="s">
        <v>333</v>
      </c>
      <c r="B168" s="9" t="s">
        <v>334</v>
      </c>
      <c r="C168" s="10">
        <v>99.0</v>
      </c>
      <c r="D168" s="10">
        <v>99.0</v>
      </c>
      <c r="E168" s="10">
        <v>99.0</v>
      </c>
      <c r="F168" s="10">
        <v>99.0</v>
      </c>
      <c r="G168" s="10">
        <v>99.0</v>
      </c>
      <c r="H168" s="10">
        <v>99.0</v>
      </c>
      <c r="I168" s="10">
        <v>99.0</v>
      </c>
      <c r="J168" s="10">
        <v>99.0</v>
      </c>
      <c r="K168" s="10">
        <v>99.0</v>
      </c>
      <c r="L168" s="10">
        <v>99.0</v>
      </c>
    </row>
    <row r="169" ht="14.25" customHeight="1">
      <c r="A169" s="8" t="s">
        <v>335</v>
      </c>
      <c r="B169" s="9" t="s">
        <v>336</v>
      </c>
      <c r="C169" s="10">
        <v>99.0</v>
      </c>
      <c r="D169" s="10">
        <v>99.0</v>
      </c>
      <c r="E169" s="10">
        <v>99.0</v>
      </c>
      <c r="F169" s="10">
        <v>99.0</v>
      </c>
      <c r="G169" s="10">
        <v>99.0</v>
      </c>
      <c r="H169" s="10">
        <v>99.0</v>
      </c>
      <c r="I169" s="10">
        <v>99.0</v>
      </c>
      <c r="J169" s="10">
        <v>99.0</v>
      </c>
      <c r="K169" s="10">
        <v>99.0</v>
      </c>
      <c r="L169" s="10">
        <v>99.0</v>
      </c>
    </row>
    <row r="170" ht="14.25" customHeight="1">
      <c r="A170" s="8" t="s">
        <v>337</v>
      </c>
      <c r="B170" s="9" t="s">
        <v>338</v>
      </c>
      <c r="C170" s="10">
        <v>99.0</v>
      </c>
      <c r="D170" s="10">
        <v>99.0</v>
      </c>
      <c r="E170" s="10">
        <v>99.0</v>
      </c>
      <c r="F170" s="10">
        <v>99.0</v>
      </c>
      <c r="G170" s="10">
        <v>99.0</v>
      </c>
      <c r="H170" s="10">
        <v>99.0</v>
      </c>
      <c r="I170" s="10">
        <v>99.0</v>
      </c>
      <c r="J170" s="10">
        <v>99.0</v>
      </c>
      <c r="K170" s="10">
        <v>99.0</v>
      </c>
      <c r="L170" s="10">
        <v>99.0</v>
      </c>
    </row>
    <row r="171" ht="14.25" customHeight="1">
      <c r="A171" s="8" t="s">
        <v>339</v>
      </c>
      <c r="B171" s="9" t="s">
        <v>340</v>
      </c>
      <c r="C171" s="10">
        <v>88.09335412860044</v>
      </c>
      <c r="D171" s="10">
        <v>88.52304778223045</v>
      </c>
      <c r="E171" s="10">
        <v>88.95145180150436</v>
      </c>
      <c r="F171" s="10">
        <v>89.38346047460811</v>
      </c>
      <c r="G171" s="10">
        <v>89.81838971091786</v>
      </c>
      <c r="H171" s="10">
        <v>90.25597559329636</v>
      </c>
      <c r="I171" s="10">
        <v>90.69568695763041</v>
      </c>
      <c r="J171" s="10">
        <v>91.13724870126555</v>
      </c>
      <c r="K171" s="10">
        <v>91.58024326137357</v>
      </c>
      <c r="L171" s="10">
        <v>92.02426809119625</v>
      </c>
    </row>
    <row r="172" ht="14.25" customHeight="1">
      <c r="A172" s="8" t="s">
        <v>341</v>
      </c>
      <c r="B172" s="9" t="s">
        <v>342</v>
      </c>
      <c r="C172" s="10">
        <v>99.0</v>
      </c>
      <c r="D172" s="10">
        <v>99.0</v>
      </c>
      <c r="E172" s="10">
        <v>99.0</v>
      </c>
      <c r="F172" s="10">
        <v>99.0</v>
      </c>
      <c r="G172" s="10">
        <v>99.0</v>
      </c>
      <c r="H172" s="10">
        <v>99.0</v>
      </c>
      <c r="I172" s="10">
        <v>99.0</v>
      </c>
      <c r="J172" s="10">
        <v>99.0</v>
      </c>
      <c r="K172" s="10">
        <v>99.0</v>
      </c>
      <c r="L172" s="10">
        <v>99.0</v>
      </c>
    </row>
    <row r="173" ht="14.25" customHeight="1">
      <c r="A173" s="8" t="s">
        <v>343</v>
      </c>
      <c r="B173" s="9" t="s">
        <v>344</v>
      </c>
      <c r="C173" s="10">
        <v>99.0</v>
      </c>
      <c r="D173" s="10">
        <v>99.0</v>
      </c>
      <c r="E173" s="10">
        <v>99.0</v>
      </c>
      <c r="F173" s="10">
        <v>99.0</v>
      </c>
      <c r="G173" s="10">
        <v>99.0</v>
      </c>
      <c r="H173" s="10">
        <v>99.0</v>
      </c>
      <c r="I173" s="10">
        <v>99.0</v>
      </c>
      <c r="J173" s="10">
        <v>99.0</v>
      </c>
      <c r="K173" s="10">
        <v>99.0</v>
      </c>
      <c r="L173" s="10">
        <v>99.0</v>
      </c>
    </row>
    <row r="174" ht="14.25" customHeight="1">
      <c r="A174" s="8" t="s">
        <v>345</v>
      </c>
      <c r="B174" s="9" t="s">
        <v>346</v>
      </c>
      <c r="C174" s="10">
        <v>96.29457294643485</v>
      </c>
      <c r="D174" s="10">
        <v>96.37634216129099</v>
      </c>
      <c r="E174" s="10">
        <v>96.45888519390786</v>
      </c>
      <c r="F174" s="10">
        <v>96.54219618362546</v>
      </c>
      <c r="G174" s="10">
        <v>96.62617766518532</v>
      </c>
      <c r="H174" s="10">
        <v>96.71064913368782</v>
      </c>
      <c r="I174" s="10">
        <v>96.7955268787445</v>
      </c>
      <c r="J174" s="10">
        <v>96.88071804540752</v>
      </c>
      <c r="K174" s="10">
        <v>96.96612688329135</v>
      </c>
      <c r="L174" s="10">
        <v>97.05159793660339</v>
      </c>
    </row>
    <row r="175" ht="14.25" customHeight="1">
      <c r="A175" s="8" t="s">
        <v>347</v>
      </c>
      <c r="B175" s="9" t="s">
        <v>348</v>
      </c>
      <c r="C175" s="10">
        <v>56.57923343624884</v>
      </c>
      <c r="D175" s="10">
        <v>57.52104963601477</v>
      </c>
      <c r="E175" s="10">
        <v>58.47522309780587</v>
      </c>
      <c r="F175" s="10">
        <v>59.44111970282952</v>
      </c>
      <c r="G175" s="10">
        <v>60.41926084194643</v>
      </c>
      <c r="H175" s="10">
        <v>61.40958150291972</v>
      </c>
      <c r="I175" s="10">
        <v>62.41173597073212</v>
      </c>
      <c r="J175" s="10">
        <v>63.42593871800914</v>
      </c>
      <c r="K175" s="10">
        <v>64.45210934510992</v>
      </c>
      <c r="L175" s="10">
        <v>65.10087807049236</v>
      </c>
    </row>
    <row r="176" ht="14.25" customHeight="1">
      <c r="A176" s="8" t="s">
        <v>349</v>
      </c>
      <c r="B176" s="9" t="s">
        <v>350</v>
      </c>
      <c r="C176" s="10">
        <v>99.0</v>
      </c>
      <c r="D176" s="10">
        <v>99.0</v>
      </c>
      <c r="E176" s="10">
        <v>99.0</v>
      </c>
      <c r="F176" s="10">
        <v>99.0</v>
      </c>
      <c r="G176" s="10">
        <v>99.0</v>
      </c>
      <c r="H176" s="10">
        <v>99.0</v>
      </c>
      <c r="I176" s="10">
        <v>99.0</v>
      </c>
      <c r="J176" s="10">
        <v>99.0</v>
      </c>
      <c r="K176" s="10">
        <v>99.0</v>
      </c>
      <c r="L176" s="10">
        <v>99.0</v>
      </c>
    </row>
    <row r="177" ht="14.25" customHeight="1">
      <c r="A177" s="8" t="s">
        <v>351</v>
      </c>
      <c r="B177" s="9" t="s">
        <v>352</v>
      </c>
      <c r="C177" s="10">
        <v>98.85000000000002</v>
      </c>
      <c r="D177" s="10">
        <v>98.90000000000002</v>
      </c>
      <c r="E177" s="10">
        <v>98.95000000000002</v>
      </c>
      <c r="F177" s="10">
        <v>99.00000000000001</v>
      </c>
      <c r="G177" s="10">
        <v>99.0</v>
      </c>
      <c r="H177" s="10">
        <v>99.0</v>
      </c>
      <c r="I177" s="10">
        <v>99.0</v>
      </c>
      <c r="J177" s="10">
        <v>99.0</v>
      </c>
      <c r="K177" s="10">
        <v>99.0</v>
      </c>
      <c r="L177" s="10">
        <v>99.0</v>
      </c>
    </row>
    <row r="178" ht="14.25" customHeight="1">
      <c r="A178" s="8" t="s">
        <v>353</v>
      </c>
      <c r="B178" s="9" t="s">
        <v>354</v>
      </c>
      <c r="C178" s="10">
        <v>98.61185413240652</v>
      </c>
      <c r="D178" s="10">
        <v>98.61185413240652</v>
      </c>
      <c r="E178" s="10">
        <v>98.61185413240652</v>
      </c>
      <c r="F178" s="10">
        <v>98.61185413240652</v>
      </c>
      <c r="G178" s="10">
        <v>98.61185413240652</v>
      </c>
      <c r="H178" s="10"/>
      <c r="I178" s="10"/>
      <c r="J178" s="10"/>
      <c r="K178" s="10"/>
      <c r="L178" s="10"/>
    </row>
    <row r="179" ht="14.25" customHeight="1">
      <c r="A179" s="8" t="s">
        <v>355</v>
      </c>
      <c r="B179" s="9" t="s">
        <v>356</v>
      </c>
      <c r="C179" s="10">
        <v>94.68801477061228</v>
      </c>
      <c r="D179" s="10">
        <v>95.12803808621094</v>
      </c>
      <c r="E179" s="10">
        <v>95.56809483649467</v>
      </c>
      <c r="F179" s="10">
        <v>96.00803518688639</v>
      </c>
      <c r="G179" s="10">
        <v>96.44777687346948</v>
      </c>
      <c r="H179" s="10">
        <v>96.88720419386767</v>
      </c>
      <c r="I179" s="10">
        <v>96.88750592640973</v>
      </c>
      <c r="J179" s="10">
        <v>96.88783817090888</v>
      </c>
      <c r="K179" s="10">
        <v>96.8882330165684</v>
      </c>
      <c r="L179" s="10">
        <v>96.88866058169151</v>
      </c>
    </row>
    <row r="180" ht="14.25" customHeight="1">
      <c r="A180" s="8" t="s">
        <v>357</v>
      </c>
      <c r="B180" s="9" t="s">
        <v>358</v>
      </c>
      <c r="C180" s="10">
        <v>99.0</v>
      </c>
      <c r="D180" s="10">
        <v>99.0</v>
      </c>
      <c r="E180" s="10">
        <v>99.0</v>
      </c>
      <c r="F180" s="10">
        <v>99.0</v>
      </c>
      <c r="G180" s="10">
        <v>99.0</v>
      </c>
      <c r="H180" s="10">
        <v>99.0</v>
      </c>
      <c r="I180" s="10">
        <v>99.0</v>
      </c>
      <c r="J180" s="10">
        <v>99.0</v>
      </c>
      <c r="K180" s="10">
        <v>99.0</v>
      </c>
      <c r="L180" s="10">
        <v>99.0</v>
      </c>
    </row>
    <row r="181" ht="14.25" customHeight="1">
      <c r="A181" s="8" t="s">
        <v>359</v>
      </c>
      <c r="B181" s="9" t="s">
        <v>360</v>
      </c>
      <c r="C181" s="10">
        <v>91.4</v>
      </c>
      <c r="D181" s="10">
        <v>91.4</v>
      </c>
      <c r="E181" s="10">
        <v>91.4</v>
      </c>
      <c r="F181" s="10">
        <v>91.4</v>
      </c>
      <c r="G181" s="10">
        <v>91.4</v>
      </c>
      <c r="H181" s="10">
        <v>91.4</v>
      </c>
      <c r="I181" s="10">
        <v>91.4</v>
      </c>
      <c r="J181" s="10">
        <v>91.4</v>
      </c>
      <c r="K181" s="10"/>
      <c r="L181" s="10"/>
    </row>
    <row r="182" ht="14.25" customHeight="1">
      <c r="A182" s="8" t="s">
        <v>361</v>
      </c>
      <c r="B182" s="9" t="s">
        <v>362</v>
      </c>
      <c r="C182" s="10">
        <v>97.5393834410297</v>
      </c>
      <c r="D182" s="10">
        <v>97.70511483686676</v>
      </c>
      <c r="E182" s="10">
        <v>97.71085581081688</v>
      </c>
      <c r="F182" s="10">
        <v>97.71664215577337</v>
      </c>
      <c r="G182" s="10">
        <v>97.7224529031103</v>
      </c>
      <c r="H182" s="10">
        <v>97.72830585495595</v>
      </c>
      <c r="I182" s="10"/>
      <c r="J182" s="10"/>
      <c r="K182" s="10"/>
      <c r="L182" s="10"/>
    </row>
    <row r="183" ht="14.25" customHeight="1">
      <c r="A183" s="8" t="s">
        <v>363</v>
      </c>
      <c r="B183" s="9" t="s">
        <v>364</v>
      </c>
      <c r="C183" s="10">
        <v>90.1108837968064</v>
      </c>
      <c r="D183" s="10">
        <v>91.1688531070319</v>
      </c>
      <c r="E183" s="10">
        <v>92.22800180534178</v>
      </c>
      <c r="F183" s="10">
        <v>93.28828503299935</v>
      </c>
      <c r="G183" s="10">
        <v>94.3496926546639</v>
      </c>
      <c r="H183" s="10">
        <v>95.41251055507284</v>
      </c>
      <c r="I183" s="10">
        <v>96.42283496776268</v>
      </c>
      <c r="J183" s="10">
        <v>97.39664728565455</v>
      </c>
      <c r="K183" s="10">
        <v>98.27201599511581</v>
      </c>
      <c r="L183" s="10">
        <v>99.0</v>
      </c>
    </row>
    <row r="184" ht="14.25" customHeight="1">
      <c r="A184" s="8" t="s">
        <v>365</v>
      </c>
      <c r="B184" s="9" t="s">
        <v>366</v>
      </c>
      <c r="C184" s="10">
        <v>99.0</v>
      </c>
      <c r="D184" s="10">
        <v>99.0</v>
      </c>
      <c r="E184" s="10">
        <v>99.0</v>
      </c>
      <c r="F184" s="10">
        <v>99.0</v>
      </c>
      <c r="G184" s="10">
        <v>99.0</v>
      </c>
      <c r="H184" s="10">
        <v>99.0</v>
      </c>
      <c r="I184" s="10">
        <v>99.0</v>
      </c>
      <c r="J184" s="10">
        <v>99.0</v>
      </c>
      <c r="K184" s="10">
        <v>99.0</v>
      </c>
      <c r="L184" s="10">
        <v>99.0</v>
      </c>
    </row>
    <row r="185" ht="14.25" customHeight="1">
      <c r="A185" s="8" t="s">
        <v>367</v>
      </c>
      <c r="B185" s="9" t="s">
        <v>368</v>
      </c>
      <c r="C185" s="10">
        <v>75.1549980628087</v>
      </c>
      <c r="D185" s="10">
        <v>75.58498700926927</v>
      </c>
      <c r="E185" s="10">
        <v>76.00423481962484</v>
      </c>
      <c r="F185" s="10">
        <v>76.41304573015815</v>
      </c>
      <c r="G185" s="10">
        <v>76.81173489364632</v>
      </c>
      <c r="H185" s="10">
        <v>77.20059546143398</v>
      </c>
      <c r="I185" s="10">
        <v>77.33578042624404</v>
      </c>
      <c r="J185" s="10">
        <v>77.31735713971102</v>
      </c>
      <c r="K185" s="10">
        <v>77.28513049375348</v>
      </c>
      <c r="L185" s="10">
        <v>77.34111653299011</v>
      </c>
    </row>
    <row r="186" ht="14.25" customHeight="1">
      <c r="A186" s="8" t="s">
        <v>369</v>
      </c>
      <c r="B186" s="9" t="s">
        <v>370</v>
      </c>
      <c r="C186" s="10"/>
      <c r="D186" s="10"/>
      <c r="E186" s="10">
        <v>98.67444104273018</v>
      </c>
      <c r="F186" s="10">
        <v>98.67092315678111</v>
      </c>
      <c r="G186" s="10">
        <v>98.66739714934481</v>
      </c>
      <c r="H186" s="10">
        <v>98.66386147678116</v>
      </c>
      <c r="I186" s="10">
        <v>98.66034230337345</v>
      </c>
      <c r="J186" s="10">
        <v>98.65680085885094</v>
      </c>
      <c r="K186" s="10">
        <v>98.65327913025631</v>
      </c>
      <c r="L186" s="10">
        <v>98.64975821578054</v>
      </c>
    </row>
    <row r="187" ht="14.25" customHeight="1">
      <c r="A187" s="8" t="s">
        <v>371</v>
      </c>
      <c r="B187" s="9" t="s">
        <v>372</v>
      </c>
      <c r="C187" s="10">
        <v>75.48213562271687</v>
      </c>
      <c r="D187" s="10">
        <v>76.6914468030901</v>
      </c>
      <c r="E187" s="10">
        <v>77.89878574306964</v>
      </c>
      <c r="F187" s="10">
        <v>79.10338196904874</v>
      </c>
      <c r="G187" s="10">
        <v>80.30526834152059</v>
      </c>
      <c r="H187" s="10">
        <v>81.50340428343377</v>
      </c>
      <c r="I187" s="10">
        <v>82.69752948052209</v>
      </c>
      <c r="J187" s="10">
        <v>83.88690324878235</v>
      </c>
      <c r="K187" s="10">
        <v>85.07122630431937</v>
      </c>
      <c r="L187" s="10">
        <v>86.2497738333803</v>
      </c>
    </row>
    <row r="188" ht="14.25" customHeight="1">
      <c r="A188" s="8" t="s">
        <v>373</v>
      </c>
      <c r="B188" s="9" t="s">
        <v>374</v>
      </c>
      <c r="C188" s="10">
        <v>92.62696806588387</v>
      </c>
      <c r="D188" s="10">
        <v>93.00635222885661</v>
      </c>
      <c r="E188" s="10">
        <v>93.38645840768582</v>
      </c>
      <c r="F188" s="10">
        <v>93.76723172997012</v>
      </c>
      <c r="G188" s="10">
        <v>94.14836872527827</v>
      </c>
      <c r="H188" s="10">
        <v>94.53003144045765</v>
      </c>
      <c r="I188" s="10">
        <v>94.91235982795111</v>
      </c>
      <c r="J188" s="10">
        <v>95.29552514297946</v>
      </c>
      <c r="K188" s="10">
        <v>95.67966514250953</v>
      </c>
      <c r="L188" s="10">
        <v>95.67813707562306</v>
      </c>
    </row>
    <row r="189" ht="14.25" customHeight="1">
      <c r="A189" s="8" t="s">
        <v>375</v>
      </c>
      <c r="B189" s="9" t="s">
        <v>376</v>
      </c>
      <c r="C189" s="10">
        <v>95.5407360204361</v>
      </c>
      <c r="D189" s="10">
        <v>95.66617995451469</v>
      </c>
      <c r="E189" s="10">
        <v>95.79162388859328</v>
      </c>
      <c r="F189" s="10">
        <v>95.91706782267187</v>
      </c>
      <c r="G189" s="10">
        <v>96.04251175675049</v>
      </c>
      <c r="H189" s="10">
        <v>96.16795569082907</v>
      </c>
      <c r="I189" s="10">
        <v>96.29339962490766</v>
      </c>
      <c r="J189" s="10">
        <v>96.41884355898628</v>
      </c>
      <c r="K189" s="10">
        <v>96.41884355898628</v>
      </c>
      <c r="L189" s="10">
        <v>96.41884355898628</v>
      </c>
    </row>
    <row r="190" ht="14.25" customHeight="1">
      <c r="A190" s="8" t="s">
        <v>377</v>
      </c>
      <c r="B190" s="9" t="s">
        <v>378</v>
      </c>
      <c r="C190" s="10">
        <v>55.0911064398499</v>
      </c>
      <c r="D190" s="10">
        <v>56.23441347251304</v>
      </c>
      <c r="E190" s="10">
        <v>57.37531505799132</v>
      </c>
      <c r="F190" s="10">
        <v>58.51406783987764</v>
      </c>
      <c r="G190" s="10">
        <v>59.6526541621774</v>
      </c>
      <c r="H190" s="10">
        <v>60.79141944124029</v>
      </c>
      <c r="I190" s="10">
        <v>61.92980925295352</v>
      </c>
      <c r="J190" s="10">
        <v>63.06756336564079</v>
      </c>
      <c r="K190" s="10">
        <v>64.20441759272951</v>
      </c>
      <c r="L190" s="10">
        <v>65.34011789308197</v>
      </c>
    </row>
    <row r="191" ht="14.25" customHeight="1">
      <c r="A191" s="8" t="s">
        <v>379</v>
      </c>
      <c r="B191" s="9" t="s">
        <v>380</v>
      </c>
      <c r="C191" s="10">
        <v>99.0</v>
      </c>
      <c r="D191" s="10">
        <v>99.0</v>
      </c>
      <c r="E191" s="10">
        <v>99.0</v>
      </c>
      <c r="F191" s="10">
        <v>99.0</v>
      </c>
      <c r="G191" s="10">
        <v>99.0</v>
      </c>
      <c r="H191" s="10">
        <v>99.0</v>
      </c>
      <c r="I191" s="10">
        <v>99.0</v>
      </c>
      <c r="J191" s="10">
        <v>99.0</v>
      </c>
      <c r="K191" s="10">
        <v>99.0</v>
      </c>
      <c r="L191" s="10">
        <v>99.0</v>
      </c>
    </row>
    <row r="192" ht="14.25" customHeight="1">
      <c r="A192" s="8" t="s">
        <v>381</v>
      </c>
      <c r="B192" s="9" t="s">
        <v>382</v>
      </c>
      <c r="C192" s="10">
        <v>95.3111793297519</v>
      </c>
      <c r="D192" s="10">
        <v>95.3111793297519</v>
      </c>
      <c r="E192" s="10">
        <v>95.3111793297519</v>
      </c>
      <c r="F192" s="10">
        <v>95.3111793297519</v>
      </c>
      <c r="G192" s="10">
        <v>95.3111793297519</v>
      </c>
      <c r="H192" s="10"/>
      <c r="I192" s="10"/>
      <c r="J192" s="10"/>
      <c r="K192" s="10"/>
      <c r="L192" s="10"/>
    </row>
    <row r="193" ht="14.25" customHeight="1">
      <c r="A193" s="8" t="s">
        <v>383</v>
      </c>
      <c r="B193" s="9" t="s">
        <v>384</v>
      </c>
      <c r="C193" s="10">
        <v>99.0</v>
      </c>
      <c r="D193" s="10">
        <v>99.0</v>
      </c>
      <c r="E193" s="10">
        <v>99.0</v>
      </c>
      <c r="F193" s="10">
        <v>99.0</v>
      </c>
      <c r="G193" s="10">
        <v>99.0</v>
      </c>
      <c r="H193" s="10">
        <v>99.0</v>
      </c>
      <c r="I193" s="10">
        <v>99.0</v>
      </c>
      <c r="J193" s="10">
        <v>99.0</v>
      </c>
      <c r="K193" s="10">
        <v>99.0</v>
      </c>
      <c r="L193" s="10">
        <v>99.0</v>
      </c>
    </row>
    <row r="194" ht="14.25" customHeight="1">
      <c r="A194" s="8" t="s">
        <v>385</v>
      </c>
      <c r="B194" s="9" t="s">
        <v>386</v>
      </c>
      <c r="C194" s="10">
        <v>99.0</v>
      </c>
      <c r="D194" s="10">
        <v>99.0</v>
      </c>
      <c r="E194" s="10">
        <v>99.0</v>
      </c>
      <c r="F194" s="10">
        <v>99.0</v>
      </c>
      <c r="G194" s="10">
        <v>99.0</v>
      </c>
      <c r="H194" s="10">
        <v>99.0</v>
      </c>
      <c r="I194" s="10">
        <v>99.0</v>
      </c>
      <c r="J194" s="10">
        <v>99.0</v>
      </c>
      <c r="K194" s="10">
        <v>99.0</v>
      </c>
      <c r="L194" s="10">
        <v>99.0</v>
      </c>
    </row>
    <row r="195" ht="14.25" customHeight="1">
      <c r="A195" s="8" t="s">
        <v>387</v>
      </c>
      <c r="B195" s="9" t="s">
        <v>388</v>
      </c>
      <c r="C195" s="10">
        <v>70.9490706970944</v>
      </c>
      <c r="D195" s="10">
        <v>70.13112974456328</v>
      </c>
      <c r="E195" s="10">
        <v>69.32991976928287</v>
      </c>
      <c r="F195" s="10">
        <v>68.54479684359117</v>
      </c>
      <c r="G195" s="10">
        <v>67.77595790250564</v>
      </c>
      <c r="H195" s="10">
        <v>67.00625681163426</v>
      </c>
      <c r="I195" s="10">
        <v>67.15380217069706</v>
      </c>
      <c r="J195" s="10">
        <v>67.30102726971033</v>
      </c>
      <c r="K195" s="10">
        <v>67.4476106942439</v>
      </c>
      <c r="L195" s="10"/>
    </row>
    <row r="196" ht="14.25" customHeight="1">
      <c r="A196" s="8" t="s">
        <v>389</v>
      </c>
      <c r="B196" s="9" t="s">
        <v>390</v>
      </c>
      <c r="C196" s="10">
        <v>45.57015088136652</v>
      </c>
      <c r="D196" s="10">
        <v>47.14313008073881</v>
      </c>
      <c r="E196" s="10">
        <v>48.71115376277032</v>
      </c>
      <c r="F196" s="10">
        <v>50.27459540591489</v>
      </c>
      <c r="G196" s="10">
        <v>51.83293105059668</v>
      </c>
      <c r="H196" s="10">
        <v>53.38651530353551</v>
      </c>
      <c r="I196" s="10">
        <v>54.93440825473718</v>
      </c>
      <c r="J196" s="10">
        <v>56.47697291041229</v>
      </c>
      <c r="K196" s="10">
        <v>58.01372820646041</v>
      </c>
      <c r="L196" s="10">
        <v>58.25950307442277</v>
      </c>
    </row>
    <row r="197" ht="14.25" customHeight="1">
      <c r="A197" s="8" t="s">
        <v>391</v>
      </c>
      <c r="B197" s="9" t="s">
        <v>392</v>
      </c>
      <c r="C197" s="10">
        <v>90.94738286997948</v>
      </c>
      <c r="D197" s="10">
        <v>91.3761428829595</v>
      </c>
      <c r="E197" s="10">
        <v>91.79609584470926</v>
      </c>
      <c r="F197" s="10">
        <v>92.20731162497653</v>
      </c>
      <c r="G197" s="10">
        <v>92.60968252374226</v>
      </c>
      <c r="H197" s="10">
        <v>93.00329093269822</v>
      </c>
      <c r="I197" s="10">
        <v>93.38824369032984</v>
      </c>
      <c r="J197" s="10">
        <v>93.76479029204576</v>
      </c>
      <c r="K197" s="10">
        <v>94.13269971200415</v>
      </c>
      <c r="L197" s="10">
        <v>94.4920893511476</v>
      </c>
    </row>
    <row r="198" ht="14.25" customHeight="1">
      <c r="A198" s="8" t="s">
        <v>393</v>
      </c>
      <c r="B198" s="9" t="s">
        <v>394</v>
      </c>
      <c r="C198" s="10">
        <v>41.27469373238879</v>
      </c>
      <c r="D198" s="10">
        <v>41.27738292995877</v>
      </c>
      <c r="E198" s="10">
        <v>41.24750850316889</v>
      </c>
      <c r="F198" s="10">
        <v>41.18681317492084</v>
      </c>
      <c r="G198" s="10">
        <v>41.09732798147289</v>
      </c>
      <c r="H198" s="10">
        <v>40.98150672850129</v>
      </c>
      <c r="I198" s="10">
        <v>40.84165539080396</v>
      </c>
      <c r="J198" s="10">
        <v>40.95092728979711</v>
      </c>
      <c r="K198" s="10">
        <v>41.0656616457638</v>
      </c>
      <c r="L198" s="10">
        <v>41.18659284636204</v>
      </c>
    </row>
    <row r="199" ht="14.25" customHeight="1">
      <c r="A199" s="8" t="s">
        <v>395</v>
      </c>
      <c r="B199" s="9" t="s">
        <v>396</v>
      </c>
      <c r="C199" s="10">
        <v>99.0</v>
      </c>
      <c r="D199" s="10">
        <v>99.0</v>
      </c>
      <c r="E199" s="10">
        <v>99.0</v>
      </c>
      <c r="F199" s="10">
        <v>99.0</v>
      </c>
      <c r="G199" s="10">
        <v>99.0</v>
      </c>
      <c r="H199" s="10">
        <v>99.0</v>
      </c>
      <c r="I199" s="10">
        <v>99.0</v>
      </c>
      <c r="J199" s="10">
        <v>99.0</v>
      </c>
      <c r="K199" s="10">
        <v>99.0</v>
      </c>
      <c r="L199" s="10">
        <v>99.0</v>
      </c>
    </row>
    <row r="200" ht="14.25" customHeight="1">
      <c r="A200" s="8" t="s">
        <v>397</v>
      </c>
      <c r="B200" s="9" t="s">
        <v>398</v>
      </c>
      <c r="C200" s="10">
        <v>86.60239813198457</v>
      </c>
      <c r="D200" s="10">
        <v>86.89574121524146</v>
      </c>
      <c r="E200" s="10">
        <v>87.19113279032109</v>
      </c>
      <c r="F200" s="10">
        <v>87.48839096004988</v>
      </c>
      <c r="G200" s="10">
        <v>87.78755271814607</v>
      </c>
      <c r="H200" s="10">
        <v>88.08865639874345</v>
      </c>
      <c r="I200" s="10">
        <v>88.39140850748318</v>
      </c>
      <c r="J200" s="10">
        <v>88.69595430812647</v>
      </c>
      <c r="K200" s="10">
        <v>89.00221413182412</v>
      </c>
      <c r="L200" s="10">
        <v>89.31010728948112</v>
      </c>
    </row>
    <row r="201" ht="14.25" customHeight="1">
      <c r="A201" s="8" t="s">
        <v>399</v>
      </c>
      <c r="B201" s="9" t="s">
        <v>400</v>
      </c>
      <c r="C201" s="10">
        <v>95.75916299037317</v>
      </c>
      <c r="D201" s="10">
        <v>96.0708791130045</v>
      </c>
      <c r="E201" s="10">
        <v>96.37985702224633</v>
      </c>
      <c r="F201" s="10">
        <v>96.68600210207292</v>
      </c>
      <c r="G201" s="10">
        <v>96.98922408138631</v>
      </c>
      <c r="H201" s="10">
        <v>97.28942543289205</v>
      </c>
      <c r="I201" s="10">
        <v>97.58650673241222</v>
      </c>
      <c r="J201" s="10">
        <v>97.88040195844538</v>
      </c>
      <c r="K201" s="10">
        <v>98.17100018567957</v>
      </c>
      <c r="L201" s="10">
        <v>98.44464031502189</v>
      </c>
    </row>
    <row r="202" ht="14.25" customHeight="1">
      <c r="A202" s="8" t="s">
        <v>401</v>
      </c>
      <c r="B202" s="9" t="s">
        <v>402</v>
      </c>
      <c r="C202" s="10">
        <v>54.78610224850196</v>
      </c>
      <c r="D202" s="10">
        <v>55.91920430896089</v>
      </c>
      <c r="E202" s="10">
        <v>57.05438896840127</v>
      </c>
      <c r="F202" s="10">
        <v>58.19101737963231</v>
      </c>
      <c r="G202" s="10">
        <v>59.32866708964131</v>
      </c>
      <c r="H202" s="10">
        <v>60.46708424422734</v>
      </c>
      <c r="I202" s="10">
        <v>61.60565353116787</v>
      </c>
      <c r="J202" s="10">
        <v>62.74411092701034</v>
      </c>
      <c r="K202" s="10">
        <v>63.88200965107333</v>
      </c>
      <c r="L202" s="10">
        <v>64.92007532335202</v>
      </c>
    </row>
    <row r="203" ht="14.25" customHeight="1">
      <c r="A203" s="8" t="s">
        <v>403</v>
      </c>
      <c r="B203" s="9" t="s">
        <v>404</v>
      </c>
      <c r="C203" s="10">
        <v>94.85724832455038</v>
      </c>
      <c r="D203" s="10">
        <v>95.30139689312325</v>
      </c>
      <c r="E203" s="10">
        <v>95.74769571956527</v>
      </c>
      <c r="F203" s="10">
        <v>96.19545982792636</v>
      </c>
      <c r="G203" s="10">
        <v>96.64411239976594</v>
      </c>
      <c r="H203" s="10">
        <v>97.09310628147611</v>
      </c>
      <c r="I203" s="10">
        <v>97.54177353513356</v>
      </c>
      <c r="J203" s="10">
        <v>97.98963206288049</v>
      </c>
      <c r="K203" s="10">
        <v>97.99112691378483</v>
      </c>
      <c r="L203" s="10">
        <v>97.99301333513814</v>
      </c>
    </row>
    <row r="204" ht="14.25" customHeight="1">
      <c r="A204" s="8" t="s">
        <v>405</v>
      </c>
      <c r="B204" s="9" t="s">
        <v>406</v>
      </c>
      <c r="C204" s="10">
        <v>99.0</v>
      </c>
      <c r="D204" s="10">
        <v>99.0</v>
      </c>
      <c r="E204" s="10">
        <v>99.0</v>
      </c>
      <c r="F204" s="10">
        <v>99.0</v>
      </c>
      <c r="G204" s="10">
        <v>99.0</v>
      </c>
      <c r="H204" s="10">
        <v>99.0</v>
      </c>
      <c r="I204" s="10">
        <v>99.0</v>
      </c>
      <c r="J204" s="10">
        <v>99.0</v>
      </c>
      <c r="K204" s="10">
        <v>99.0</v>
      </c>
      <c r="L204" s="10">
        <v>99.0</v>
      </c>
    </row>
    <row r="205" ht="14.25" customHeight="1">
      <c r="A205" s="8" t="s">
        <v>407</v>
      </c>
      <c r="B205" s="9" t="s">
        <v>408</v>
      </c>
      <c r="C205" s="10">
        <v>99.0</v>
      </c>
      <c r="D205" s="10">
        <v>99.0</v>
      </c>
      <c r="E205" s="10">
        <v>99.0</v>
      </c>
      <c r="F205" s="10">
        <v>99.0</v>
      </c>
      <c r="G205" s="10">
        <v>99.0</v>
      </c>
      <c r="H205" s="10">
        <v>99.0</v>
      </c>
      <c r="I205" s="10">
        <v>99.0</v>
      </c>
      <c r="J205" s="10">
        <v>99.0</v>
      </c>
      <c r="K205" s="10">
        <v>99.0</v>
      </c>
      <c r="L205" s="10">
        <v>99.0</v>
      </c>
    </row>
    <row r="206" ht="14.25" customHeight="1">
      <c r="A206" s="8" t="s">
        <v>409</v>
      </c>
      <c r="B206" s="9" t="s">
        <v>410</v>
      </c>
      <c r="C206" s="10">
        <v>93.1098532850411</v>
      </c>
      <c r="D206" s="10">
        <v>93.17153555809739</v>
      </c>
      <c r="E206" s="10">
        <v>93.31814306805734</v>
      </c>
      <c r="F206" s="10">
        <v>93.46161774423098</v>
      </c>
      <c r="G206" s="10">
        <v>93.60191914017025</v>
      </c>
      <c r="H206" s="10">
        <v>93.7390198639221</v>
      </c>
      <c r="I206" s="10">
        <v>93.87294348746178</v>
      </c>
      <c r="J206" s="10">
        <v>94.00363679794913</v>
      </c>
      <c r="K206" s="10">
        <v>94.05369267632217</v>
      </c>
      <c r="L206" s="10">
        <v>94.07793298339496</v>
      </c>
    </row>
    <row r="207" ht="14.25" customHeight="1">
      <c r="A207" s="8" t="s">
        <v>411</v>
      </c>
      <c r="B207" s="9" t="s">
        <v>412</v>
      </c>
      <c r="C207" s="10">
        <v>73.49980819478067</v>
      </c>
      <c r="D207" s="10">
        <v>74.86490181016029</v>
      </c>
      <c r="E207" s="10">
        <v>76.2394931599553</v>
      </c>
      <c r="F207" s="10">
        <v>77.62285620870159</v>
      </c>
      <c r="G207" s="10">
        <v>79.01396473565718</v>
      </c>
      <c r="H207" s="10">
        <v>80.41159048746029</v>
      </c>
      <c r="I207" s="10">
        <v>81.81511096613286</v>
      </c>
      <c r="J207" s="10">
        <v>81.85241760096321</v>
      </c>
      <c r="K207" s="10">
        <v>81.8940783642255</v>
      </c>
      <c r="L207" s="10">
        <v>81.9399075495213</v>
      </c>
    </row>
    <row r="208" ht="14.25" customHeight="1">
      <c r="A208" s="8" t="s">
        <v>413</v>
      </c>
      <c r="B208" s="9" t="s">
        <v>414</v>
      </c>
      <c r="C208" s="10">
        <v>98.38999592582292</v>
      </c>
      <c r="D208" s="10">
        <v>98.66201206763934</v>
      </c>
      <c r="E208" s="10">
        <v>98.92935939620362</v>
      </c>
      <c r="F208" s="10">
        <v>99.0</v>
      </c>
      <c r="G208" s="10">
        <v>99.0</v>
      </c>
      <c r="H208" s="10">
        <v>99.0</v>
      </c>
      <c r="I208" s="10">
        <v>99.0</v>
      </c>
      <c r="J208" s="10">
        <v>99.0</v>
      </c>
      <c r="K208" s="10">
        <v>99.0</v>
      </c>
      <c r="L208" s="10">
        <v>99.0</v>
      </c>
    </row>
    <row r="209" ht="14.25" customHeight="1">
      <c r="A209" s="8" t="s">
        <v>415</v>
      </c>
      <c r="B209" s="9" t="s">
        <v>416</v>
      </c>
      <c r="C209" s="10">
        <v>69.98087489543565</v>
      </c>
      <c r="D209" s="10">
        <v>72.10317421350953</v>
      </c>
      <c r="E209" s="10">
        <v>74.24583130130645</v>
      </c>
      <c r="F209" s="10">
        <v>76.40837099873345</v>
      </c>
      <c r="G209" s="10">
        <v>78.59011915873681</v>
      </c>
      <c r="H209" s="10">
        <v>80.79100539561865</v>
      </c>
      <c r="I209" s="10">
        <v>82.38411591926717</v>
      </c>
      <c r="J209" s="10">
        <v>83.97422209660152</v>
      </c>
      <c r="K209" s="10">
        <v>85.56091446856115</v>
      </c>
      <c r="L209" s="10">
        <v>87.0186359918728</v>
      </c>
    </row>
    <row r="210" ht="14.25" customHeight="1">
      <c r="A210" s="8" t="s">
        <v>417</v>
      </c>
      <c r="B210" s="9" t="s">
        <v>418</v>
      </c>
      <c r="C210" s="10">
        <v>61.11167344375469</v>
      </c>
      <c r="D210" s="10">
        <v>62.2550568439878</v>
      </c>
      <c r="E210" s="10">
        <v>63.38718959894332</v>
      </c>
      <c r="F210" s="10">
        <v>64.50939745400707</v>
      </c>
      <c r="G210" s="10">
        <v>65.6210929908916</v>
      </c>
      <c r="H210" s="10">
        <v>66.72207307285738</v>
      </c>
      <c r="I210" s="10">
        <v>67.8121290467606</v>
      </c>
      <c r="J210" s="10">
        <v>68.89105921426408</v>
      </c>
      <c r="K210" s="10">
        <v>69.9469819723585</v>
      </c>
      <c r="L210" s="10">
        <v>70.99071605879496</v>
      </c>
    </row>
    <row r="211" ht="14.25" customHeight="1">
      <c r="A211" s="8" t="s">
        <v>419</v>
      </c>
      <c r="B211" s="9" t="s">
        <v>420</v>
      </c>
      <c r="C211" s="10">
        <v>99.0</v>
      </c>
      <c r="D211" s="10">
        <v>99.0</v>
      </c>
      <c r="E211" s="10">
        <v>99.0</v>
      </c>
      <c r="F211" s="10">
        <v>99.0</v>
      </c>
      <c r="G211" s="10">
        <v>99.0</v>
      </c>
      <c r="H211" s="10">
        <v>99.0</v>
      </c>
      <c r="I211" s="10">
        <v>99.0</v>
      </c>
      <c r="J211" s="10">
        <v>99.0</v>
      </c>
      <c r="K211" s="10">
        <v>99.0</v>
      </c>
      <c r="L211" s="10">
        <v>99.0</v>
      </c>
    </row>
    <row r="212" ht="14.25" customHeight="1">
      <c r="A212" s="8" t="s">
        <v>421</v>
      </c>
      <c r="B212" s="9" t="s">
        <v>422</v>
      </c>
      <c r="C212" s="10">
        <v>98.47839709906296</v>
      </c>
      <c r="D212" s="10">
        <v>98.51550505264207</v>
      </c>
      <c r="E212" s="10">
        <v>98.55253896275082</v>
      </c>
      <c r="F212" s="10">
        <v>98.58950800096919</v>
      </c>
      <c r="G212" s="10">
        <v>98.62640902462977</v>
      </c>
      <c r="H212" s="10">
        <v>98.66334520288532</v>
      </c>
      <c r="I212" s="10">
        <v>98.70035345292938</v>
      </c>
      <c r="J212" s="10">
        <v>98.73745962764579</v>
      </c>
      <c r="K212" s="10">
        <v>98.7746885865332</v>
      </c>
      <c r="L212" s="10">
        <v>98.81207613966934</v>
      </c>
    </row>
    <row r="213" ht="14.25" customHeight="1">
      <c r="A213" s="8" t="s">
        <v>423</v>
      </c>
      <c r="B213" s="9" t="s">
        <v>424</v>
      </c>
      <c r="C213" s="10">
        <v>97.37034799850856</v>
      </c>
      <c r="D213" s="10">
        <v>97.75326282328909</v>
      </c>
      <c r="E213" s="10">
        <v>98.13617764806962</v>
      </c>
      <c r="F213" s="10">
        <v>98.51909247285015</v>
      </c>
      <c r="G213" s="10">
        <v>98.87517076923064</v>
      </c>
      <c r="H213" s="10">
        <v>98.87517076923064</v>
      </c>
      <c r="I213" s="10">
        <v>98.87517076923064</v>
      </c>
      <c r="J213" s="10">
        <v>98.87517076923064</v>
      </c>
      <c r="K213" s="10">
        <v>98.87517076923064</v>
      </c>
      <c r="L213" s="10">
        <v>98.87517076923064</v>
      </c>
    </row>
    <row r="214" ht="14.25" customHeight="1">
      <c r="A214" s="8" t="s">
        <v>425</v>
      </c>
      <c r="B214" s="9" t="s">
        <v>426</v>
      </c>
      <c r="C214" s="10">
        <v>93.10709364643333</v>
      </c>
      <c r="D214" s="10">
        <v>93.63084983518274</v>
      </c>
      <c r="E214" s="10">
        <v>94.1515141812455</v>
      </c>
      <c r="F214" s="10">
        <v>94.6685359628418</v>
      </c>
      <c r="G214" s="10">
        <v>95.1815374585918</v>
      </c>
      <c r="H214" s="10">
        <v>95.6902295465412</v>
      </c>
      <c r="I214" s="10">
        <v>96.19409018317727</v>
      </c>
      <c r="J214" s="10">
        <v>96.69266173895976</v>
      </c>
      <c r="K214" s="10">
        <v>96.93899304859193</v>
      </c>
      <c r="L214" s="10">
        <v>97.18173125367014</v>
      </c>
    </row>
    <row r="215" ht="14.25" customHeight="1">
      <c r="A215" s="8" t="s">
        <v>427</v>
      </c>
      <c r="B215" s="9" t="s">
        <v>428</v>
      </c>
      <c r="C215" s="10">
        <v>95.92934159552426</v>
      </c>
      <c r="D215" s="10">
        <v>96.09453945581745</v>
      </c>
      <c r="E215" s="10">
        <v>96.25616116383586</v>
      </c>
      <c r="F215" s="10">
        <v>96.41432543283214</v>
      </c>
      <c r="G215" s="10">
        <v>96.56908735177494</v>
      </c>
      <c r="H215" s="10">
        <v>96.72060791187066</v>
      </c>
      <c r="I215" s="10">
        <v>96.86896415977606</v>
      </c>
      <c r="J215" s="10">
        <v>97.01426659693387</v>
      </c>
      <c r="K215" s="10">
        <v>97.02029542889791</v>
      </c>
      <c r="L215" s="10">
        <v>97.02618824452678</v>
      </c>
    </row>
    <row r="216" ht="14.25" customHeight="1">
      <c r="A216" s="8" t="s">
        <v>429</v>
      </c>
      <c r="B216" s="9" t="s">
        <v>430</v>
      </c>
      <c r="C216" s="10">
        <v>96.27697728723628</v>
      </c>
      <c r="D216" s="10">
        <v>96.97194752842681</v>
      </c>
      <c r="E216" s="10">
        <v>97.65894271745637</v>
      </c>
      <c r="F216" s="10">
        <v>98.33813041077434</v>
      </c>
      <c r="G216" s="10">
        <v>98.99758141254797</v>
      </c>
      <c r="H216" s="10">
        <v>99.0</v>
      </c>
      <c r="I216" s="10">
        <v>99.0</v>
      </c>
      <c r="J216" s="10">
        <v>99.0</v>
      </c>
      <c r="K216" s="10">
        <v>99.0</v>
      </c>
      <c r="L216" s="10">
        <v>99.0</v>
      </c>
    </row>
    <row r="217" ht="14.25" customHeight="1">
      <c r="A217" s="8" t="s">
        <v>431</v>
      </c>
      <c r="B217" s="9" t="s">
        <v>432</v>
      </c>
      <c r="C217" s="10"/>
      <c r="D217" s="10"/>
      <c r="E217" s="10"/>
      <c r="F217" s="10">
        <v>98.68941170472897</v>
      </c>
      <c r="G217" s="10">
        <v>98.71178866194279</v>
      </c>
      <c r="H217" s="10">
        <v>98.73275362120916</v>
      </c>
      <c r="I217" s="10">
        <v>98.75229824397256</v>
      </c>
      <c r="J217" s="10">
        <v>98.77056978054654</v>
      </c>
      <c r="K217" s="10">
        <v>98.78765379208203</v>
      </c>
      <c r="L217" s="10">
        <v>98.8035417706889</v>
      </c>
    </row>
    <row r="218" ht="14.25" customHeight="1">
      <c r="A218" s="8" t="s">
        <v>433</v>
      </c>
      <c r="B218" s="9" t="s">
        <v>434</v>
      </c>
      <c r="C218" s="10">
        <v>99.0</v>
      </c>
      <c r="D218" s="10">
        <v>99.0</v>
      </c>
      <c r="E218" s="10">
        <v>99.0</v>
      </c>
      <c r="F218" s="10">
        <v>99.0</v>
      </c>
      <c r="G218" s="10">
        <v>99.0</v>
      </c>
      <c r="H218" s="10">
        <v>99.0</v>
      </c>
      <c r="I218" s="10">
        <v>99.0</v>
      </c>
      <c r="J218" s="10">
        <v>99.0</v>
      </c>
      <c r="K218" s="10">
        <v>99.0</v>
      </c>
      <c r="L218" s="10">
        <v>99.0</v>
      </c>
    </row>
    <row r="219" ht="14.25" customHeight="1">
      <c r="A219" s="8" t="s">
        <v>435</v>
      </c>
      <c r="B219" s="9" t="s">
        <v>436</v>
      </c>
      <c r="C219" s="10">
        <v>44.78487923697865</v>
      </c>
      <c r="D219" s="10">
        <v>46.33873881372117</v>
      </c>
      <c r="E219" s="10">
        <v>47.90880897119906</v>
      </c>
      <c r="F219" s="10">
        <v>49.49353038613875</v>
      </c>
      <c r="G219" s="10">
        <v>51.09211651940539</v>
      </c>
      <c r="H219" s="10">
        <v>52.70309272736164</v>
      </c>
      <c r="I219" s="10">
        <v>54.32668724234685</v>
      </c>
      <c r="J219" s="10">
        <v>55.96110322325226</v>
      </c>
      <c r="K219" s="10">
        <v>57.60557485040599</v>
      </c>
      <c r="L219" s="10">
        <v>59.25960900910176</v>
      </c>
    </row>
    <row r="220" ht="14.25" customHeight="1">
      <c r="A220" s="8" t="s">
        <v>437</v>
      </c>
      <c r="B220" s="9" t="s">
        <v>438</v>
      </c>
      <c r="C220" s="10">
        <v>93.78815014063346</v>
      </c>
      <c r="D220" s="10">
        <v>93.3220713767913</v>
      </c>
      <c r="E220" s="10">
        <v>93.36158794631848</v>
      </c>
      <c r="F220" s="10">
        <v>93.40063358475076</v>
      </c>
      <c r="G220" s="10">
        <v>93.43928828213025</v>
      </c>
      <c r="H220" s="10">
        <v>93.47633322430373</v>
      </c>
      <c r="I220" s="10">
        <v>93.51157782664617</v>
      </c>
      <c r="J220" s="10">
        <v>93.54498545533264</v>
      </c>
      <c r="K220" s="10">
        <v>93.53463927237576</v>
      </c>
      <c r="L220" s="10">
        <v>93.58979837903448</v>
      </c>
    </row>
    <row r="221" ht="14.25" customHeight="1">
      <c r="A221" s="8" t="s">
        <v>439</v>
      </c>
      <c r="B221" s="9" t="s">
        <v>440</v>
      </c>
      <c r="C221" s="10">
        <v>99.0</v>
      </c>
      <c r="D221" s="10">
        <v>99.0</v>
      </c>
      <c r="E221" s="10">
        <v>99.0</v>
      </c>
      <c r="F221" s="10">
        <v>99.0</v>
      </c>
      <c r="G221" s="10">
        <v>99.0</v>
      </c>
      <c r="H221" s="10">
        <v>99.0</v>
      </c>
      <c r="I221" s="10">
        <v>99.0</v>
      </c>
      <c r="J221" s="10">
        <v>99.0</v>
      </c>
      <c r="K221" s="10">
        <v>99.0</v>
      </c>
      <c r="L221" s="10">
        <v>99.0</v>
      </c>
    </row>
    <row r="222" ht="14.25" customHeight="1">
      <c r="A222" s="8" t="s">
        <v>441</v>
      </c>
      <c r="B222" s="9" t="s">
        <v>442</v>
      </c>
      <c r="C222" s="10">
        <v>99.0</v>
      </c>
      <c r="D222" s="10">
        <v>99.0</v>
      </c>
      <c r="E222" s="10">
        <v>99.0</v>
      </c>
      <c r="F222" s="10">
        <v>99.0</v>
      </c>
      <c r="G222" s="10">
        <v>99.0</v>
      </c>
      <c r="H222" s="10">
        <v>99.0</v>
      </c>
      <c r="I222" s="10">
        <v>99.0</v>
      </c>
      <c r="J222" s="10">
        <v>99.0</v>
      </c>
      <c r="K222" s="10">
        <v>99.0</v>
      </c>
      <c r="L222" s="10">
        <v>99.0</v>
      </c>
    </row>
    <row r="223" ht="14.25" customHeight="1">
      <c r="A223" s="8" t="s">
        <v>443</v>
      </c>
      <c r="B223" s="9" t="s">
        <v>444</v>
      </c>
      <c r="C223" s="10">
        <v>47.90361465396585</v>
      </c>
      <c r="D223" s="10">
        <v>49.37183756807963</v>
      </c>
      <c r="E223" s="10">
        <v>50.83147011923751</v>
      </c>
      <c r="F223" s="10">
        <v>52.2811702298122</v>
      </c>
      <c r="G223" s="10">
        <v>53.72079640884662</v>
      </c>
      <c r="H223" s="10">
        <v>55.14943387962945</v>
      </c>
      <c r="I223" s="10">
        <v>56.56584812638894</v>
      </c>
      <c r="J223" s="10">
        <v>57.97026558715045</v>
      </c>
      <c r="K223" s="10">
        <v>59.36117077030988</v>
      </c>
      <c r="L223" s="10">
        <v>60.79115702961731</v>
      </c>
    </row>
    <row r="224" ht="14.25" customHeight="1">
      <c r="A224" s="8" t="s">
        <v>445</v>
      </c>
      <c r="B224" s="9" t="s">
        <v>446</v>
      </c>
      <c r="C224" s="10">
        <v>98.71828368941844</v>
      </c>
      <c r="D224" s="10">
        <v>98.71827825156848</v>
      </c>
      <c r="E224" s="10">
        <v>98.71827281371851</v>
      </c>
      <c r="F224" s="10">
        <v>98.71826737586856</v>
      </c>
      <c r="G224" s="10">
        <v>98.71826737586856</v>
      </c>
      <c r="H224" s="10">
        <v>98.71826737586856</v>
      </c>
      <c r="I224" s="10">
        <v>98.71826737586856</v>
      </c>
      <c r="J224" s="10">
        <v>98.71826737586856</v>
      </c>
      <c r="K224" s="10"/>
      <c r="L224" s="10"/>
    </row>
    <row r="225" ht="14.25" customHeight="1">
      <c r="A225" s="8" t="s">
        <v>447</v>
      </c>
      <c r="B225" s="9" t="s">
        <v>448</v>
      </c>
      <c r="C225" s="10">
        <v>99.0</v>
      </c>
      <c r="D225" s="10">
        <v>99.0</v>
      </c>
      <c r="E225" s="10">
        <v>99.0</v>
      </c>
      <c r="F225" s="10">
        <v>99.0</v>
      </c>
      <c r="G225" s="10">
        <v>99.0</v>
      </c>
      <c r="H225" s="10">
        <v>99.0</v>
      </c>
      <c r="I225" s="10">
        <v>99.0</v>
      </c>
      <c r="J225" s="10">
        <v>99.0</v>
      </c>
      <c r="K225" s="10">
        <v>99.0</v>
      </c>
      <c r="L225" s="10">
        <v>99.0</v>
      </c>
    </row>
    <row r="226" ht="14.25" customHeight="1">
      <c r="A226" s="8" t="s">
        <v>449</v>
      </c>
      <c r="B226" s="9" t="s">
        <v>450</v>
      </c>
      <c r="C226" s="10">
        <v>98.85257812073209</v>
      </c>
      <c r="D226" s="10">
        <v>98.99355874690693</v>
      </c>
      <c r="E226" s="10">
        <v>99.0</v>
      </c>
      <c r="F226" s="10">
        <v>99.0</v>
      </c>
      <c r="G226" s="10">
        <v>99.0</v>
      </c>
      <c r="H226" s="10">
        <v>99.0</v>
      </c>
      <c r="I226" s="10">
        <v>99.0</v>
      </c>
      <c r="J226" s="10">
        <v>99.0</v>
      </c>
      <c r="K226" s="10">
        <v>99.0</v>
      </c>
      <c r="L226" s="10">
        <v>99.0</v>
      </c>
    </row>
    <row r="227" ht="14.25" customHeight="1">
      <c r="A227" s="8" t="s">
        <v>451</v>
      </c>
      <c r="B227" s="9" t="s">
        <v>452</v>
      </c>
      <c r="C227" s="10">
        <v>93.21602187633208</v>
      </c>
      <c r="D227" s="10">
        <v>93.61048357484577</v>
      </c>
      <c r="E227" s="10">
        <v>94.00782163472755</v>
      </c>
      <c r="F227" s="10">
        <v>94.40804398027073</v>
      </c>
      <c r="G227" s="10">
        <v>94.81115706816821</v>
      </c>
      <c r="H227" s="10">
        <v>95.21857311243267</v>
      </c>
      <c r="I227" s="10">
        <v>95.62743614805038</v>
      </c>
      <c r="J227" s="10">
        <v>95.95780934615513</v>
      </c>
      <c r="K227" s="10">
        <v>96.28974263752704</v>
      </c>
      <c r="L227" s="10">
        <v>96.62280995801162</v>
      </c>
    </row>
    <row r="228" ht="14.25" customHeight="1">
      <c r="A228" s="8" t="s">
        <v>453</v>
      </c>
      <c r="B228" s="9" t="s">
        <v>454</v>
      </c>
      <c r="C228" s="10">
        <v>87.53246422695162</v>
      </c>
      <c r="D228" s="10">
        <v>87.95490942382911</v>
      </c>
      <c r="E228" s="10">
        <v>88.37698694011627</v>
      </c>
      <c r="F228" s="10">
        <v>88.79881781423666</v>
      </c>
      <c r="G228" s="10">
        <v>89.22027678644316</v>
      </c>
      <c r="H228" s="10">
        <v>89.64255045382622</v>
      </c>
      <c r="I228" s="10">
        <v>90.06542590045211</v>
      </c>
      <c r="J228" s="10">
        <v>90.48902743636131</v>
      </c>
      <c r="K228" s="10">
        <v>90.91301735449294</v>
      </c>
      <c r="L228" s="10">
        <v>91.33751629483986</v>
      </c>
    </row>
    <row r="229" ht="14.25" customHeight="1">
      <c r="A229" s="8" t="s">
        <v>455</v>
      </c>
      <c r="B229" s="9" t="s">
        <v>456</v>
      </c>
      <c r="C229" s="10">
        <v>94.92546472904714</v>
      </c>
      <c r="D229" s="10">
        <v>94.74836986908971</v>
      </c>
      <c r="E229" s="10">
        <v>94.5712750091323</v>
      </c>
      <c r="F229" s="10">
        <v>94.39418014917491</v>
      </c>
      <c r="G229" s="10">
        <v>94.2170852892175</v>
      </c>
      <c r="H229" s="10">
        <v>94.03999042926007</v>
      </c>
      <c r="I229" s="10">
        <v>93.86289556930264</v>
      </c>
      <c r="J229" s="10">
        <v>93.68580070934522</v>
      </c>
      <c r="K229" s="10">
        <v>93.5087058493878</v>
      </c>
      <c r="L229" s="10">
        <v>93.33161098943037</v>
      </c>
    </row>
    <row r="230" ht="14.25" customHeight="1">
      <c r="A230" s="8" t="s">
        <v>457</v>
      </c>
      <c r="B230" s="9" t="s">
        <v>458</v>
      </c>
      <c r="C230" s="10">
        <v>91.16709535502422</v>
      </c>
      <c r="D230" s="10">
        <v>91.9225591098778</v>
      </c>
      <c r="E230" s="10">
        <v>92.66830859143064</v>
      </c>
      <c r="F230" s="10">
        <v>93.40408105239361</v>
      </c>
      <c r="G230" s="10">
        <v>94.12940814681647</v>
      </c>
      <c r="H230" s="10">
        <v>95.16878486773206</v>
      </c>
      <c r="I230" s="10">
        <v>95.98905364748128</v>
      </c>
      <c r="J230" s="10">
        <v>96.66702247464558</v>
      </c>
      <c r="K230" s="10">
        <v>97.31751338307862</v>
      </c>
      <c r="L230" s="10">
        <v>97.95681658431555</v>
      </c>
    </row>
    <row r="231" ht="14.25" customHeight="1">
      <c r="A231" s="8" t="s">
        <v>459</v>
      </c>
      <c r="B231" s="9" t="s">
        <v>460</v>
      </c>
      <c r="C231" s="10">
        <v>99.0</v>
      </c>
      <c r="D231" s="10">
        <v>99.0</v>
      </c>
      <c r="E231" s="10">
        <v>99.0</v>
      </c>
      <c r="F231" s="10">
        <v>99.0</v>
      </c>
      <c r="G231" s="10">
        <v>99.0</v>
      </c>
      <c r="H231" s="10">
        <v>99.0</v>
      </c>
      <c r="I231" s="10">
        <v>99.0</v>
      </c>
      <c r="J231" s="10">
        <v>99.0</v>
      </c>
      <c r="K231" s="10">
        <v>99.0</v>
      </c>
      <c r="L231" s="10">
        <v>99.0</v>
      </c>
    </row>
    <row r="232" ht="14.25" customHeight="1">
      <c r="A232" s="8" t="s">
        <v>461</v>
      </c>
      <c r="B232" s="9" t="s">
        <v>462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 ht="14.25" customHeight="1">
      <c r="A233" s="8" t="s">
        <v>463</v>
      </c>
      <c r="B233" s="9" t="s">
        <v>464</v>
      </c>
      <c r="C233" s="10">
        <v>53.72152504069633</v>
      </c>
      <c r="D233" s="10">
        <v>54.75738283231086</v>
      </c>
      <c r="E233" s="10">
        <v>55.77886897597838</v>
      </c>
      <c r="F233" s="10">
        <v>56.78561719231551</v>
      </c>
      <c r="G233" s="10">
        <v>57.77759580460255</v>
      </c>
      <c r="H233" s="10">
        <v>58.7544943833312</v>
      </c>
      <c r="I233" s="10">
        <v>59.71657983840974</v>
      </c>
      <c r="J233" s="10">
        <v>60.66357179735837</v>
      </c>
      <c r="K233" s="10">
        <v>61.59520686314544</v>
      </c>
      <c r="L233" s="10">
        <v>61.75824370292346</v>
      </c>
    </row>
    <row r="234" ht="14.25" customHeight="1">
      <c r="A234" s="8" t="s">
        <v>465</v>
      </c>
      <c r="B234" s="9" t="s">
        <v>466</v>
      </c>
      <c r="C234" s="10">
        <v>60.85808425303411</v>
      </c>
      <c r="D234" s="10">
        <v>61.87658336507934</v>
      </c>
      <c r="E234" s="10">
        <v>62.88795693104713</v>
      </c>
      <c r="F234" s="10">
        <v>63.89123228879428</v>
      </c>
      <c r="G234" s="10">
        <v>64.88671209871806</v>
      </c>
      <c r="H234" s="10">
        <v>65.87427046030497</v>
      </c>
      <c r="I234" s="10">
        <v>66.85339837857438</v>
      </c>
      <c r="J234" s="10">
        <v>67.82400401880645</v>
      </c>
      <c r="K234" s="10">
        <v>68.03478317879822</v>
      </c>
      <c r="L234" s="10">
        <v>68.24780650270817</v>
      </c>
    </row>
    <row r="235" ht="14.25" customHeight="1">
      <c r="A235" s="8" t="s">
        <v>467</v>
      </c>
      <c r="B235" s="9" t="s">
        <v>468</v>
      </c>
      <c r="C235" s="10">
        <v>65.9664737026442</v>
      </c>
      <c r="D235" s="10">
        <v>65.45410958867032</v>
      </c>
      <c r="E235" s="10">
        <v>64.95493221084885</v>
      </c>
      <c r="F235" s="10">
        <v>64.46896086492109</v>
      </c>
      <c r="G235" s="10">
        <v>63.9966273097218</v>
      </c>
      <c r="H235" s="10">
        <v>63.5387733496876</v>
      </c>
      <c r="I235" s="10">
        <v>63.09495380190918</v>
      </c>
      <c r="J235" s="10">
        <v>62.66645611043238</v>
      </c>
      <c r="K235" s="10">
        <v>62.25279758416274</v>
      </c>
      <c r="L235" s="10">
        <v>62.29425496174949</v>
      </c>
    </row>
    <row r="236" ht="14.25" customHeight="1">
      <c r="A236" s="8"/>
      <c r="B236" s="9"/>
      <c r="C236" s="12"/>
      <c r="D236" s="12"/>
      <c r="E236" s="12"/>
      <c r="F236" s="12"/>
      <c r="G236" s="12"/>
      <c r="H236" s="12"/>
      <c r="I236" s="12"/>
      <c r="J236" s="12"/>
      <c r="K236" s="12"/>
      <c r="L236" s="12"/>
    </row>
    <row r="237" ht="14.25" customHeight="1">
      <c r="A237" s="8" t="s">
        <v>469</v>
      </c>
      <c r="B237" s="9"/>
      <c r="C237" s="12">
        <v>228.0</v>
      </c>
      <c r="D237" s="12">
        <v>228.0</v>
      </c>
      <c r="E237" s="12">
        <v>229.0</v>
      </c>
      <c r="F237" s="12">
        <v>230.0</v>
      </c>
      <c r="G237" s="12">
        <v>227.0</v>
      </c>
      <c r="H237" s="12">
        <v>220.0</v>
      </c>
      <c r="I237" s="12">
        <v>219.0</v>
      </c>
      <c r="J237" s="12">
        <v>216.0</v>
      </c>
      <c r="K237" s="12">
        <v>211.0</v>
      </c>
      <c r="L237" s="12">
        <v>207.0</v>
      </c>
    </row>
    <row r="238" ht="14.25" customHeight="1">
      <c r="A238" s="8"/>
      <c r="B238" s="9"/>
      <c r="C238" s="13"/>
      <c r="D238" s="13"/>
      <c r="E238" s="13"/>
      <c r="F238" s="13"/>
      <c r="G238" s="13"/>
      <c r="H238" s="13"/>
      <c r="I238" s="13"/>
      <c r="J238" s="13"/>
      <c r="K238" s="13"/>
      <c r="L238" s="13"/>
    </row>
    <row r="239" ht="14.25" customHeight="1">
      <c r="A239" s="8"/>
      <c r="B239" s="9"/>
      <c r="C239" s="12"/>
      <c r="D239" s="12"/>
      <c r="E239" s="12"/>
      <c r="F239" s="12"/>
      <c r="G239" s="12"/>
      <c r="H239" s="12"/>
      <c r="I239" s="12"/>
      <c r="J239" s="12"/>
      <c r="K239" s="12"/>
      <c r="L239" s="12"/>
    </row>
    <row r="240" ht="14.25" customHeight="1">
      <c r="A240" s="8"/>
      <c r="B240" s="9"/>
      <c r="C240" s="12"/>
      <c r="D240" s="12"/>
      <c r="E240" s="12"/>
      <c r="F240" s="12"/>
      <c r="G240" s="12"/>
      <c r="H240" s="12"/>
      <c r="I240" s="12"/>
      <c r="J240" s="12"/>
      <c r="K240" s="12"/>
      <c r="L240" s="12"/>
    </row>
    <row r="241" ht="14.25" customHeight="1">
      <c r="A241" s="8"/>
      <c r="B241" s="9"/>
      <c r="C241" s="12"/>
      <c r="D241" s="12"/>
      <c r="E241" s="12"/>
      <c r="F241" s="12"/>
      <c r="G241" s="12"/>
      <c r="H241" s="12"/>
      <c r="I241" s="12"/>
      <c r="J241" s="12"/>
      <c r="K241" s="12"/>
      <c r="L241" s="12"/>
    </row>
    <row r="242" ht="14.25" customHeight="1">
      <c r="A242" s="8"/>
      <c r="B242" s="9"/>
      <c r="C242" s="12"/>
      <c r="D242" s="12"/>
      <c r="E242" s="12"/>
      <c r="F242" s="12"/>
      <c r="G242" s="12"/>
      <c r="H242" s="12"/>
      <c r="I242" s="12"/>
      <c r="J242" s="12"/>
      <c r="K242" s="12"/>
      <c r="L242" s="12"/>
    </row>
    <row r="243" ht="14.25" customHeight="1">
      <c r="A243" s="8"/>
      <c r="B243" s="9"/>
      <c r="C243" s="12"/>
      <c r="D243" s="12"/>
      <c r="E243" s="12"/>
      <c r="F243" s="12"/>
      <c r="G243" s="12"/>
      <c r="H243" s="12"/>
      <c r="I243" s="12"/>
      <c r="J243" s="12"/>
      <c r="K243" s="12"/>
      <c r="L243" s="12"/>
    </row>
    <row r="244" ht="14.25" customHeight="1">
      <c r="A244" s="8"/>
      <c r="B244" s="9"/>
      <c r="C244" s="12"/>
      <c r="D244" s="12"/>
      <c r="E244" s="12"/>
      <c r="F244" s="12"/>
      <c r="G244" s="12"/>
      <c r="H244" s="12"/>
      <c r="I244" s="12"/>
      <c r="J244" s="12"/>
      <c r="K244" s="12"/>
      <c r="L244" s="12"/>
    </row>
    <row r="245" ht="14.25" customHeight="1">
      <c r="A245" s="8"/>
      <c r="B245" s="9"/>
      <c r="C245" s="12"/>
      <c r="D245" s="12"/>
      <c r="E245" s="12"/>
      <c r="F245" s="12"/>
      <c r="G245" s="12"/>
      <c r="H245" s="12"/>
      <c r="I245" s="12"/>
      <c r="J245" s="12"/>
      <c r="K245" s="12"/>
      <c r="L245" s="12"/>
    </row>
    <row r="246" ht="14.25" customHeight="1">
      <c r="A246" s="8"/>
      <c r="B246" s="9"/>
      <c r="C246" s="12"/>
      <c r="D246" s="12"/>
      <c r="E246" s="12"/>
      <c r="F246" s="12"/>
      <c r="G246" s="12"/>
      <c r="H246" s="12"/>
      <c r="I246" s="12"/>
      <c r="J246" s="12"/>
      <c r="K246" s="12"/>
      <c r="L246" s="12"/>
    </row>
    <row r="247" ht="14.25" customHeight="1">
      <c r="A247" s="8"/>
      <c r="B247" s="9"/>
      <c r="C247" s="12"/>
      <c r="D247" s="12"/>
      <c r="E247" s="12"/>
      <c r="F247" s="12"/>
      <c r="G247" s="12"/>
      <c r="H247" s="12"/>
      <c r="I247" s="12"/>
      <c r="J247" s="12"/>
      <c r="K247" s="12"/>
      <c r="L247" s="12"/>
    </row>
    <row r="248" ht="14.25" customHeight="1">
      <c r="A248" s="8"/>
      <c r="B248" s="9"/>
      <c r="C248" s="12"/>
      <c r="D248" s="12"/>
      <c r="E248" s="12"/>
      <c r="F248" s="12"/>
      <c r="G248" s="12"/>
      <c r="H248" s="12"/>
      <c r="I248" s="12"/>
      <c r="J248" s="12"/>
      <c r="K248" s="12"/>
      <c r="L248" s="12"/>
    </row>
    <row r="249" ht="14.25" customHeight="1">
      <c r="A249" s="8"/>
      <c r="B249" s="9"/>
      <c r="C249" s="12"/>
      <c r="D249" s="12"/>
      <c r="E249" s="12"/>
      <c r="F249" s="12"/>
      <c r="G249" s="12"/>
      <c r="H249" s="12"/>
      <c r="I249" s="12"/>
      <c r="J249" s="12"/>
      <c r="K249" s="12"/>
      <c r="L249" s="12"/>
    </row>
    <row r="250" ht="14.25" customHeight="1">
      <c r="A250" s="8"/>
      <c r="B250" s="9"/>
      <c r="C250" s="12"/>
      <c r="D250" s="12"/>
      <c r="E250" s="12"/>
      <c r="F250" s="12"/>
      <c r="G250" s="12"/>
      <c r="H250" s="12"/>
      <c r="I250" s="12"/>
      <c r="J250" s="12"/>
      <c r="K250" s="12"/>
      <c r="L250" s="12"/>
    </row>
    <row r="251" ht="14.25" customHeight="1">
      <c r="A251" s="8"/>
      <c r="B251" s="9"/>
      <c r="C251" s="12"/>
      <c r="D251" s="12"/>
      <c r="E251" s="12"/>
      <c r="F251" s="12"/>
      <c r="G251" s="12"/>
      <c r="H251" s="12"/>
      <c r="I251" s="12"/>
      <c r="J251" s="12"/>
      <c r="K251" s="12"/>
      <c r="L251" s="12"/>
    </row>
    <row r="252" ht="14.25" customHeight="1">
      <c r="A252" s="8"/>
      <c r="B252" s="9"/>
      <c r="C252" s="12"/>
      <c r="D252" s="12"/>
      <c r="E252" s="12"/>
      <c r="F252" s="12"/>
      <c r="G252" s="12"/>
      <c r="H252" s="12"/>
      <c r="I252" s="12"/>
      <c r="J252" s="12"/>
      <c r="K252" s="12"/>
      <c r="L252" s="12"/>
    </row>
    <row r="253" ht="14.25" customHeight="1">
      <c r="A253" s="8"/>
      <c r="B253" s="9"/>
      <c r="C253" s="12"/>
      <c r="D253" s="12"/>
      <c r="E253" s="12"/>
      <c r="F253" s="12"/>
      <c r="G253" s="12"/>
      <c r="H253" s="12"/>
      <c r="I253" s="12"/>
      <c r="J253" s="12"/>
      <c r="K253" s="12"/>
      <c r="L253" s="12"/>
    </row>
    <row r="254" ht="14.25" customHeight="1">
      <c r="A254" s="8"/>
      <c r="B254" s="9"/>
      <c r="C254" s="12"/>
      <c r="D254" s="12"/>
      <c r="E254" s="12"/>
      <c r="F254" s="12"/>
      <c r="G254" s="12"/>
      <c r="H254" s="12"/>
      <c r="I254" s="12"/>
      <c r="J254" s="12"/>
      <c r="K254" s="12"/>
      <c r="L254" s="12"/>
    </row>
    <row r="255" ht="14.25" customHeight="1">
      <c r="A255" s="8"/>
      <c r="B255" s="9"/>
      <c r="C255" s="12"/>
      <c r="D255" s="12"/>
      <c r="E255" s="12"/>
      <c r="F255" s="12"/>
      <c r="G255" s="12"/>
      <c r="H255" s="12"/>
      <c r="I255" s="12"/>
      <c r="J255" s="12"/>
      <c r="K255" s="12"/>
      <c r="L255" s="12"/>
    </row>
    <row r="256" ht="14.25" customHeight="1">
      <c r="A256" s="8"/>
      <c r="B256" s="9"/>
      <c r="C256" s="12"/>
      <c r="D256" s="12"/>
      <c r="E256" s="12"/>
      <c r="F256" s="12"/>
      <c r="G256" s="12"/>
      <c r="H256" s="12"/>
      <c r="I256" s="12"/>
      <c r="J256" s="12"/>
      <c r="K256" s="12"/>
      <c r="L256" s="12"/>
    </row>
    <row r="257" ht="14.25" customHeight="1">
      <c r="A257" s="8"/>
      <c r="B257" s="9"/>
      <c r="C257" s="12"/>
      <c r="D257" s="12"/>
      <c r="E257" s="12"/>
      <c r="F257" s="12"/>
      <c r="G257" s="12"/>
      <c r="H257" s="12"/>
      <c r="I257" s="12"/>
      <c r="J257" s="12"/>
      <c r="K257" s="12"/>
      <c r="L257" s="12"/>
    </row>
    <row r="258" ht="14.25" customHeight="1">
      <c r="A258" s="8"/>
      <c r="B258" s="9"/>
      <c r="C258" s="12"/>
      <c r="D258" s="12"/>
      <c r="E258" s="12"/>
      <c r="F258" s="12"/>
      <c r="G258" s="12"/>
      <c r="H258" s="12"/>
      <c r="I258" s="12"/>
      <c r="J258" s="12"/>
      <c r="K258" s="12"/>
      <c r="L258" s="12"/>
    </row>
    <row r="259" ht="14.25" customHeight="1">
      <c r="A259" s="8"/>
      <c r="B259" s="9"/>
      <c r="C259" s="12"/>
      <c r="D259" s="12"/>
      <c r="E259" s="12"/>
      <c r="F259" s="12"/>
      <c r="G259" s="12"/>
      <c r="H259" s="12"/>
      <c r="I259" s="12"/>
      <c r="J259" s="12"/>
      <c r="K259" s="12"/>
      <c r="L259" s="12"/>
    </row>
    <row r="260" ht="14.25" customHeight="1">
      <c r="A260" s="8"/>
      <c r="B260" s="9"/>
      <c r="C260" s="12"/>
      <c r="D260" s="12"/>
      <c r="E260" s="12"/>
      <c r="F260" s="12"/>
      <c r="G260" s="12"/>
      <c r="H260" s="12"/>
      <c r="I260" s="12"/>
      <c r="J260" s="12"/>
      <c r="K260" s="12"/>
      <c r="L260" s="12"/>
    </row>
    <row r="261" ht="14.25" customHeight="1">
      <c r="A261" s="8"/>
      <c r="B261" s="9"/>
      <c r="C261" s="12"/>
      <c r="D261" s="12"/>
      <c r="E261" s="12"/>
      <c r="F261" s="12"/>
      <c r="G261" s="12"/>
      <c r="H261" s="12"/>
      <c r="I261" s="12"/>
      <c r="J261" s="12"/>
      <c r="K261" s="12"/>
      <c r="L261" s="12"/>
    </row>
    <row r="262" ht="14.25" customHeight="1">
      <c r="A262" s="8"/>
      <c r="B262" s="9"/>
      <c r="C262" s="12"/>
      <c r="D262" s="12"/>
      <c r="E262" s="12"/>
      <c r="F262" s="12"/>
      <c r="G262" s="12"/>
      <c r="H262" s="12"/>
      <c r="I262" s="12"/>
      <c r="J262" s="12"/>
      <c r="K262" s="12"/>
      <c r="L262" s="12"/>
    </row>
    <row r="263" ht="14.25" customHeight="1">
      <c r="A263" s="8"/>
      <c r="B263" s="9"/>
      <c r="C263" s="12"/>
      <c r="D263" s="12"/>
      <c r="E263" s="12"/>
      <c r="F263" s="12"/>
      <c r="G263" s="12"/>
      <c r="H263" s="12"/>
      <c r="I263" s="12"/>
      <c r="J263" s="12"/>
      <c r="K263" s="12"/>
      <c r="L263" s="12"/>
    </row>
    <row r="264" ht="14.25" customHeight="1">
      <c r="A264" s="8"/>
      <c r="B264" s="9"/>
      <c r="C264" s="12"/>
      <c r="D264" s="12"/>
      <c r="E264" s="12"/>
      <c r="F264" s="12"/>
      <c r="G264" s="12"/>
      <c r="H264" s="12"/>
      <c r="I264" s="12"/>
      <c r="J264" s="12"/>
      <c r="K264" s="12"/>
      <c r="L264" s="12"/>
    </row>
    <row r="265" ht="14.25" customHeight="1">
      <c r="A265" s="8"/>
      <c r="B265" s="9"/>
      <c r="C265" s="12"/>
      <c r="D265" s="12"/>
      <c r="E265" s="12"/>
      <c r="F265" s="12"/>
      <c r="G265" s="12"/>
      <c r="H265" s="12"/>
      <c r="I265" s="12"/>
      <c r="J265" s="12"/>
      <c r="K265" s="12"/>
      <c r="L265" s="12"/>
    </row>
    <row r="266" ht="14.25" customHeight="1">
      <c r="A266" s="8"/>
      <c r="B266" s="9"/>
      <c r="C266" s="12"/>
      <c r="D266" s="12"/>
      <c r="E266" s="12"/>
      <c r="F266" s="12"/>
      <c r="G266" s="12"/>
      <c r="H266" s="12"/>
      <c r="I266" s="12"/>
      <c r="J266" s="12"/>
      <c r="K266" s="12"/>
      <c r="L266" s="12"/>
    </row>
    <row r="267" ht="14.25" customHeight="1">
      <c r="A267" s="8"/>
      <c r="B267" s="9"/>
      <c r="C267" s="12"/>
      <c r="D267" s="12"/>
      <c r="E267" s="12"/>
      <c r="F267" s="12"/>
      <c r="G267" s="12"/>
      <c r="H267" s="12"/>
      <c r="I267" s="12"/>
      <c r="J267" s="12"/>
      <c r="K267" s="12"/>
      <c r="L267" s="12"/>
    </row>
    <row r="268" ht="14.25" customHeight="1">
      <c r="A268" s="8"/>
      <c r="B268" s="9"/>
      <c r="C268" s="12"/>
      <c r="D268" s="12"/>
      <c r="E268" s="12"/>
      <c r="F268" s="12"/>
      <c r="G268" s="12"/>
      <c r="H268" s="12"/>
      <c r="I268" s="12"/>
      <c r="J268" s="12"/>
      <c r="K268" s="12"/>
      <c r="L268" s="12"/>
    </row>
    <row r="269" ht="14.25" customHeight="1">
      <c r="A269" s="8"/>
      <c r="B269" s="9"/>
      <c r="C269" s="12"/>
      <c r="D269" s="12"/>
      <c r="E269" s="12"/>
      <c r="F269" s="12"/>
      <c r="G269" s="12"/>
      <c r="H269" s="12"/>
      <c r="I269" s="12"/>
      <c r="J269" s="12"/>
      <c r="K269" s="12"/>
      <c r="L269" s="12"/>
    </row>
    <row r="270" ht="14.25" customHeight="1">
      <c r="A270" s="8"/>
      <c r="B270" s="9"/>
      <c r="C270" s="12"/>
      <c r="D270" s="12"/>
      <c r="E270" s="12"/>
      <c r="F270" s="12"/>
      <c r="G270" s="12"/>
      <c r="H270" s="12"/>
      <c r="I270" s="12"/>
      <c r="J270" s="12"/>
      <c r="K270" s="12"/>
      <c r="L270" s="12"/>
    </row>
    <row r="271" ht="14.25" customHeight="1">
      <c r="A271" s="8"/>
      <c r="B271" s="9"/>
      <c r="C271" s="12"/>
      <c r="D271" s="12"/>
      <c r="E271" s="12"/>
      <c r="F271" s="12"/>
      <c r="G271" s="12"/>
      <c r="H271" s="12"/>
      <c r="I271" s="12"/>
      <c r="J271" s="12"/>
      <c r="K271" s="12"/>
      <c r="L271" s="12"/>
    </row>
    <row r="272" ht="14.25" customHeight="1">
      <c r="A272" s="8"/>
      <c r="B272" s="9"/>
      <c r="C272" s="12"/>
      <c r="D272" s="12"/>
      <c r="E272" s="12"/>
      <c r="F272" s="12"/>
      <c r="G272" s="12"/>
      <c r="H272" s="12"/>
      <c r="I272" s="12"/>
      <c r="J272" s="12"/>
      <c r="K272" s="12"/>
      <c r="L272" s="12"/>
    </row>
    <row r="273" ht="14.25" customHeight="1">
      <c r="A273" s="8"/>
      <c r="B273" s="9"/>
      <c r="C273" s="12"/>
      <c r="D273" s="12"/>
      <c r="E273" s="12"/>
      <c r="F273" s="12"/>
      <c r="G273" s="12"/>
      <c r="H273" s="12"/>
      <c r="I273" s="12"/>
      <c r="J273" s="12"/>
      <c r="K273" s="12"/>
      <c r="L273" s="12"/>
    </row>
    <row r="274" ht="14.25" customHeight="1">
      <c r="A274" s="8"/>
      <c r="B274" s="9"/>
      <c r="C274" s="12"/>
      <c r="D274" s="12"/>
      <c r="E274" s="12"/>
      <c r="F274" s="12"/>
      <c r="G274" s="12"/>
      <c r="H274" s="12"/>
      <c r="I274" s="12"/>
      <c r="J274" s="12"/>
      <c r="K274" s="12"/>
      <c r="L274" s="12"/>
    </row>
    <row r="275" ht="14.25" customHeight="1">
      <c r="A275" s="8"/>
      <c r="B275" s="9"/>
      <c r="C275" s="12"/>
      <c r="D275" s="12"/>
      <c r="E275" s="12"/>
      <c r="F275" s="12"/>
      <c r="G275" s="12"/>
      <c r="H275" s="12"/>
      <c r="I275" s="12"/>
      <c r="J275" s="12"/>
      <c r="K275" s="12"/>
      <c r="L275" s="12"/>
    </row>
    <row r="276" ht="14.25" customHeight="1">
      <c r="A276" s="8"/>
      <c r="B276" s="9"/>
      <c r="C276" s="12"/>
      <c r="D276" s="12"/>
      <c r="E276" s="12"/>
      <c r="F276" s="12"/>
      <c r="G276" s="12"/>
      <c r="H276" s="12"/>
      <c r="I276" s="12"/>
      <c r="J276" s="12"/>
      <c r="K276" s="12"/>
      <c r="L276" s="12"/>
    </row>
    <row r="277" ht="14.25" customHeight="1">
      <c r="A277" s="8"/>
      <c r="B277" s="9"/>
      <c r="C277" s="12"/>
      <c r="D277" s="12"/>
      <c r="E277" s="12"/>
      <c r="F277" s="12"/>
      <c r="G277" s="12"/>
      <c r="H277" s="12"/>
      <c r="I277" s="12"/>
      <c r="J277" s="12"/>
      <c r="K277" s="12"/>
      <c r="L277" s="12"/>
    </row>
    <row r="278" ht="14.25" customHeight="1">
      <c r="A278" s="8"/>
      <c r="B278" s="9"/>
      <c r="C278" s="12"/>
      <c r="D278" s="12"/>
      <c r="E278" s="12"/>
      <c r="F278" s="12"/>
      <c r="G278" s="12"/>
      <c r="H278" s="12"/>
      <c r="I278" s="12"/>
      <c r="J278" s="12"/>
      <c r="K278" s="12"/>
      <c r="L278" s="12"/>
    </row>
    <row r="279" ht="14.25" customHeight="1">
      <c r="A279" s="8"/>
      <c r="B279" s="9"/>
      <c r="C279" s="12"/>
      <c r="D279" s="12"/>
      <c r="E279" s="12"/>
      <c r="F279" s="12"/>
      <c r="G279" s="12"/>
      <c r="H279" s="12"/>
      <c r="I279" s="12"/>
      <c r="J279" s="12"/>
      <c r="K279" s="12"/>
      <c r="L279" s="12"/>
    </row>
    <row r="280" ht="14.25" customHeight="1">
      <c r="A280" s="8"/>
      <c r="B280" s="9"/>
      <c r="C280" s="12"/>
      <c r="D280" s="12"/>
      <c r="E280" s="12"/>
      <c r="F280" s="12"/>
      <c r="G280" s="12"/>
      <c r="H280" s="12"/>
      <c r="I280" s="12"/>
      <c r="J280" s="12"/>
      <c r="K280" s="12"/>
      <c r="L280" s="12"/>
    </row>
    <row r="281" ht="14.25" customHeight="1">
      <c r="A281" s="8"/>
      <c r="B281" s="9"/>
      <c r="C281" s="12"/>
      <c r="D281" s="12"/>
      <c r="E281" s="12"/>
      <c r="F281" s="12"/>
      <c r="G281" s="12"/>
      <c r="H281" s="12"/>
      <c r="I281" s="12"/>
      <c r="J281" s="12"/>
      <c r="K281" s="12"/>
      <c r="L281" s="12"/>
    </row>
    <row r="282" ht="14.25" customHeight="1">
      <c r="A282" s="8"/>
      <c r="B282" s="9"/>
      <c r="C282" s="12"/>
      <c r="D282" s="12"/>
      <c r="E282" s="12"/>
      <c r="F282" s="12"/>
      <c r="G282" s="12"/>
      <c r="H282" s="12"/>
      <c r="I282" s="12"/>
      <c r="J282" s="12"/>
      <c r="K282" s="12"/>
      <c r="L282" s="12"/>
    </row>
    <row r="283" ht="14.25" customHeight="1">
      <c r="A283" s="8"/>
      <c r="B283" s="9"/>
      <c r="C283" s="12"/>
      <c r="D283" s="12"/>
      <c r="E283" s="12"/>
      <c r="F283" s="12"/>
      <c r="G283" s="12"/>
      <c r="H283" s="12"/>
      <c r="I283" s="12"/>
      <c r="J283" s="12"/>
      <c r="K283" s="12"/>
      <c r="L283" s="12"/>
    </row>
    <row r="284" ht="14.25" customHeight="1">
      <c r="A284" s="8"/>
      <c r="B284" s="9"/>
      <c r="C284" s="12"/>
      <c r="D284" s="12"/>
      <c r="E284" s="12"/>
      <c r="F284" s="12"/>
      <c r="G284" s="12"/>
      <c r="H284" s="12"/>
      <c r="I284" s="12"/>
      <c r="J284" s="12"/>
      <c r="K284" s="12"/>
      <c r="L284" s="12"/>
    </row>
    <row r="285" ht="14.25" customHeight="1">
      <c r="A285" s="8"/>
      <c r="B285" s="9"/>
      <c r="C285" s="12"/>
      <c r="D285" s="12"/>
      <c r="E285" s="12"/>
      <c r="F285" s="12"/>
      <c r="G285" s="12"/>
      <c r="H285" s="12"/>
      <c r="I285" s="12"/>
      <c r="J285" s="12"/>
      <c r="K285" s="12"/>
      <c r="L285" s="12"/>
    </row>
    <row r="286" ht="14.25" customHeight="1">
      <c r="A286" s="8"/>
      <c r="B286" s="9"/>
      <c r="C286" s="12"/>
      <c r="D286" s="12"/>
      <c r="E286" s="12"/>
      <c r="F286" s="12"/>
      <c r="G286" s="12"/>
      <c r="H286" s="12"/>
      <c r="I286" s="12"/>
      <c r="J286" s="12"/>
      <c r="K286" s="12"/>
      <c r="L286" s="12"/>
    </row>
    <row r="287" ht="14.25" customHeight="1">
      <c r="A287" s="8"/>
      <c r="B287" s="9"/>
      <c r="C287" s="12"/>
      <c r="D287" s="12"/>
      <c r="E287" s="12"/>
      <c r="F287" s="12"/>
      <c r="G287" s="12"/>
      <c r="H287" s="12"/>
      <c r="I287" s="12"/>
      <c r="J287" s="12"/>
      <c r="K287" s="12"/>
      <c r="L287" s="12"/>
    </row>
    <row r="288" ht="14.25" customHeight="1">
      <c r="A288" s="8"/>
      <c r="B288" s="9"/>
      <c r="C288" s="12"/>
      <c r="D288" s="12"/>
      <c r="E288" s="12"/>
      <c r="F288" s="12"/>
      <c r="G288" s="12"/>
      <c r="H288" s="12"/>
      <c r="I288" s="12"/>
      <c r="J288" s="12"/>
      <c r="K288" s="12"/>
      <c r="L288" s="12"/>
    </row>
    <row r="289" ht="14.25" customHeight="1">
      <c r="A289" s="8"/>
      <c r="B289" s="9"/>
      <c r="C289" s="12"/>
      <c r="D289" s="12"/>
      <c r="E289" s="12"/>
      <c r="F289" s="12"/>
      <c r="G289" s="12"/>
      <c r="H289" s="12"/>
      <c r="I289" s="12"/>
      <c r="J289" s="12"/>
      <c r="K289" s="12"/>
      <c r="L289" s="12"/>
    </row>
    <row r="290" ht="14.25" customHeight="1">
      <c r="A290" s="8"/>
      <c r="B290" s="9"/>
      <c r="C290" s="12"/>
      <c r="D290" s="12"/>
      <c r="E290" s="12"/>
      <c r="F290" s="12"/>
      <c r="G290" s="12"/>
      <c r="H290" s="12"/>
      <c r="I290" s="12"/>
      <c r="J290" s="12"/>
      <c r="K290" s="12"/>
      <c r="L290" s="12"/>
    </row>
    <row r="291" ht="14.25" customHeight="1">
      <c r="A291" s="8"/>
      <c r="B291" s="9"/>
      <c r="C291" s="12"/>
      <c r="D291" s="12"/>
      <c r="E291" s="12"/>
      <c r="F291" s="12"/>
      <c r="G291" s="12"/>
      <c r="H291" s="12"/>
      <c r="I291" s="12"/>
      <c r="J291" s="12"/>
      <c r="K291" s="12"/>
      <c r="L291" s="12"/>
    </row>
    <row r="292" ht="14.25" customHeight="1">
      <c r="A292" s="8"/>
      <c r="B292" s="9"/>
      <c r="C292" s="12"/>
      <c r="D292" s="12"/>
      <c r="E292" s="12"/>
      <c r="F292" s="12"/>
      <c r="G292" s="12"/>
      <c r="H292" s="12"/>
      <c r="I292" s="12"/>
      <c r="J292" s="12"/>
      <c r="K292" s="12"/>
      <c r="L292" s="12"/>
    </row>
    <row r="293" ht="14.25" customHeight="1">
      <c r="A293" s="8"/>
      <c r="B293" s="9"/>
      <c r="C293" s="12"/>
      <c r="D293" s="12"/>
      <c r="E293" s="12"/>
      <c r="F293" s="12"/>
      <c r="G293" s="12"/>
      <c r="H293" s="12"/>
      <c r="I293" s="12"/>
      <c r="J293" s="12"/>
      <c r="K293" s="12"/>
      <c r="L293" s="12"/>
    </row>
    <row r="294" ht="14.25" customHeight="1">
      <c r="A294" s="8"/>
      <c r="B294" s="9"/>
      <c r="C294" s="12"/>
      <c r="D294" s="12"/>
      <c r="E294" s="12"/>
      <c r="F294" s="12"/>
      <c r="G294" s="12"/>
      <c r="H294" s="12"/>
      <c r="I294" s="12"/>
      <c r="J294" s="12"/>
      <c r="K294" s="12"/>
      <c r="L294" s="12"/>
    </row>
    <row r="295" ht="14.25" customHeight="1">
      <c r="A295" s="8"/>
      <c r="B295" s="9"/>
      <c r="C295" s="12"/>
      <c r="D295" s="12"/>
      <c r="E295" s="12"/>
      <c r="F295" s="12"/>
      <c r="G295" s="12"/>
      <c r="H295" s="12"/>
      <c r="I295" s="12"/>
      <c r="J295" s="12"/>
      <c r="K295" s="12"/>
      <c r="L295" s="12"/>
    </row>
    <row r="296" ht="14.25" customHeight="1">
      <c r="A296" s="8"/>
      <c r="B296" s="9"/>
      <c r="C296" s="12"/>
      <c r="D296" s="12"/>
      <c r="E296" s="12"/>
      <c r="F296" s="12"/>
      <c r="G296" s="12"/>
      <c r="H296" s="12"/>
      <c r="I296" s="12"/>
      <c r="J296" s="12"/>
      <c r="K296" s="12"/>
      <c r="L296" s="12"/>
    </row>
    <row r="297" ht="14.25" customHeight="1">
      <c r="A297" s="8"/>
      <c r="B297" s="9"/>
      <c r="C297" s="12"/>
      <c r="D297" s="12"/>
      <c r="E297" s="12"/>
      <c r="F297" s="12"/>
      <c r="G297" s="12"/>
      <c r="H297" s="12"/>
      <c r="I297" s="12"/>
      <c r="J297" s="12"/>
      <c r="K297" s="12"/>
      <c r="L297" s="12"/>
    </row>
    <row r="298" ht="14.25" customHeight="1">
      <c r="A298" s="8"/>
      <c r="B298" s="9"/>
      <c r="C298" s="12"/>
      <c r="D298" s="12"/>
      <c r="E298" s="12"/>
      <c r="F298" s="12"/>
      <c r="G298" s="12"/>
      <c r="H298" s="12"/>
      <c r="I298" s="12"/>
      <c r="J298" s="12"/>
      <c r="K298" s="12"/>
      <c r="L298" s="12"/>
    </row>
    <row r="299" ht="14.25" customHeight="1">
      <c r="A299" s="8"/>
      <c r="B299" s="9"/>
      <c r="C299" s="12"/>
      <c r="D299" s="12"/>
      <c r="E299" s="12"/>
      <c r="F299" s="12"/>
      <c r="G299" s="12"/>
      <c r="H299" s="12"/>
      <c r="I299" s="12"/>
      <c r="J299" s="12"/>
      <c r="K299" s="12"/>
      <c r="L299" s="12"/>
    </row>
    <row r="300" ht="14.25" customHeight="1">
      <c r="A300" s="8"/>
      <c r="B300" s="9"/>
      <c r="C300" s="12"/>
      <c r="D300" s="12"/>
      <c r="E300" s="12"/>
      <c r="F300" s="12"/>
      <c r="G300" s="12"/>
      <c r="H300" s="12"/>
      <c r="I300" s="12"/>
      <c r="J300" s="12"/>
      <c r="K300" s="12"/>
      <c r="L300" s="12"/>
    </row>
    <row r="301" ht="14.25" customHeight="1">
      <c r="A301" s="8"/>
      <c r="B301" s="9"/>
      <c r="C301" s="12"/>
      <c r="D301" s="12"/>
      <c r="E301" s="12"/>
      <c r="F301" s="12"/>
      <c r="G301" s="12"/>
      <c r="H301" s="12"/>
      <c r="I301" s="12"/>
      <c r="J301" s="12"/>
      <c r="K301" s="12"/>
      <c r="L301" s="12"/>
    </row>
    <row r="302" ht="14.25" customHeight="1">
      <c r="A302" s="8"/>
      <c r="B302" s="9"/>
      <c r="C302" s="12"/>
      <c r="D302" s="12"/>
      <c r="E302" s="12"/>
      <c r="F302" s="12"/>
      <c r="G302" s="12"/>
      <c r="H302" s="12"/>
      <c r="I302" s="12"/>
      <c r="J302" s="12"/>
      <c r="K302" s="12"/>
      <c r="L302" s="12"/>
    </row>
    <row r="303" ht="14.25" customHeight="1">
      <c r="A303" s="8"/>
      <c r="B303" s="9"/>
      <c r="C303" s="12"/>
      <c r="D303" s="12"/>
      <c r="E303" s="12"/>
      <c r="F303" s="12"/>
      <c r="G303" s="12"/>
      <c r="H303" s="12"/>
      <c r="I303" s="12"/>
      <c r="J303" s="12"/>
      <c r="K303" s="12"/>
      <c r="L303" s="12"/>
    </row>
    <row r="304" ht="14.25" customHeight="1">
      <c r="A304" s="8"/>
      <c r="B304" s="9"/>
      <c r="C304" s="12"/>
      <c r="D304" s="12"/>
      <c r="E304" s="12"/>
      <c r="F304" s="12"/>
      <c r="G304" s="12"/>
      <c r="H304" s="12"/>
      <c r="I304" s="12"/>
      <c r="J304" s="12"/>
      <c r="K304" s="12"/>
      <c r="L304" s="12"/>
    </row>
    <row r="305" ht="14.25" customHeight="1">
      <c r="A305" s="8"/>
      <c r="B305" s="9"/>
      <c r="C305" s="12"/>
      <c r="D305" s="12"/>
      <c r="E305" s="12"/>
      <c r="F305" s="12"/>
      <c r="G305" s="12"/>
      <c r="H305" s="12"/>
      <c r="I305" s="12"/>
      <c r="J305" s="12"/>
      <c r="K305" s="12"/>
      <c r="L305" s="12"/>
    </row>
    <row r="306" ht="14.25" customHeight="1">
      <c r="A306" s="8"/>
      <c r="B306" s="9"/>
      <c r="C306" s="12"/>
      <c r="D306" s="12"/>
      <c r="E306" s="12"/>
      <c r="F306" s="12"/>
      <c r="G306" s="12"/>
      <c r="H306" s="12"/>
      <c r="I306" s="12"/>
      <c r="J306" s="12"/>
      <c r="K306" s="12"/>
      <c r="L306" s="12"/>
    </row>
    <row r="307" ht="14.25" customHeight="1">
      <c r="A307" s="8"/>
      <c r="B307" s="9"/>
      <c r="C307" s="12"/>
      <c r="D307" s="12"/>
      <c r="E307" s="12"/>
      <c r="F307" s="12"/>
      <c r="G307" s="12"/>
      <c r="H307" s="12"/>
      <c r="I307" s="12"/>
      <c r="J307" s="12"/>
      <c r="K307" s="12"/>
      <c r="L307" s="12"/>
    </row>
    <row r="308" ht="14.25" customHeight="1">
      <c r="A308" s="8"/>
      <c r="B308" s="9"/>
      <c r="C308" s="12"/>
      <c r="D308" s="12"/>
      <c r="E308" s="12"/>
      <c r="F308" s="12"/>
      <c r="G308" s="12"/>
      <c r="H308" s="12"/>
      <c r="I308" s="12"/>
      <c r="J308" s="12"/>
      <c r="K308" s="12"/>
      <c r="L308" s="12"/>
    </row>
    <row r="309" ht="14.25" customHeight="1">
      <c r="A309" s="8"/>
      <c r="B309" s="9"/>
      <c r="C309" s="12"/>
      <c r="D309" s="12"/>
      <c r="E309" s="12"/>
      <c r="F309" s="12"/>
      <c r="G309" s="12"/>
      <c r="H309" s="12"/>
      <c r="I309" s="12"/>
      <c r="J309" s="12"/>
      <c r="K309" s="12"/>
      <c r="L309" s="12"/>
    </row>
    <row r="310" ht="14.25" customHeight="1">
      <c r="A310" s="8"/>
      <c r="B310" s="9"/>
      <c r="C310" s="12"/>
      <c r="D310" s="12"/>
      <c r="E310" s="12"/>
      <c r="F310" s="12"/>
      <c r="G310" s="12"/>
      <c r="H310" s="12"/>
      <c r="I310" s="12"/>
      <c r="J310" s="12"/>
      <c r="K310" s="12"/>
      <c r="L310" s="12"/>
    </row>
    <row r="311" ht="14.25" customHeight="1">
      <c r="A311" s="8"/>
      <c r="B311" s="9"/>
      <c r="C311" s="12"/>
      <c r="D311" s="12"/>
      <c r="E311" s="12"/>
      <c r="F311" s="12"/>
      <c r="G311" s="12"/>
      <c r="H311" s="12"/>
      <c r="I311" s="12"/>
      <c r="J311" s="12"/>
      <c r="K311" s="12"/>
      <c r="L311" s="12"/>
    </row>
    <row r="312" ht="14.25" customHeight="1">
      <c r="A312" s="8"/>
      <c r="B312" s="9"/>
      <c r="C312" s="12"/>
      <c r="D312" s="12"/>
      <c r="E312" s="12"/>
      <c r="F312" s="12"/>
      <c r="G312" s="12"/>
      <c r="H312" s="12"/>
      <c r="I312" s="12"/>
      <c r="J312" s="12"/>
      <c r="K312" s="12"/>
      <c r="L312" s="12"/>
    </row>
    <row r="313" ht="14.25" customHeight="1">
      <c r="A313" s="8"/>
      <c r="B313" s="9"/>
      <c r="C313" s="12"/>
      <c r="D313" s="12"/>
      <c r="E313" s="12"/>
      <c r="F313" s="12"/>
      <c r="G313" s="12"/>
      <c r="H313" s="12"/>
      <c r="I313" s="12"/>
      <c r="J313" s="12"/>
      <c r="K313" s="12"/>
      <c r="L313" s="12"/>
    </row>
    <row r="314" ht="14.25" customHeight="1">
      <c r="A314" s="8"/>
      <c r="B314" s="9"/>
      <c r="C314" s="12"/>
      <c r="D314" s="12"/>
      <c r="E314" s="12"/>
      <c r="F314" s="12"/>
      <c r="G314" s="12"/>
      <c r="H314" s="12"/>
      <c r="I314" s="12"/>
      <c r="J314" s="12"/>
      <c r="K314" s="12"/>
      <c r="L314" s="12"/>
    </row>
    <row r="315" ht="14.25" customHeight="1">
      <c r="A315" s="8"/>
      <c r="B315" s="9"/>
      <c r="C315" s="12"/>
      <c r="D315" s="12"/>
      <c r="E315" s="12"/>
      <c r="F315" s="12"/>
      <c r="G315" s="12"/>
      <c r="H315" s="12"/>
      <c r="I315" s="12"/>
      <c r="J315" s="12"/>
      <c r="K315" s="12"/>
      <c r="L315" s="12"/>
    </row>
    <row r="316" ht="14.25" customHeight="1">
      <c r="A316" s="8"/>
      <c r="B316" s="9"/>
      <c r="C316" s="12"/>
      <c r="D316" s="12"/>
      <c r="E316" s="12"/>
      <c r="F316" s="12"/>
      <c r="G316" s="12"/>
      <c r="H316" s="12"/>
      <c r="I316" s="12"/>
      <c r="J316" s="12"/>
      <c r="K316" s="12"/>
      <c r="L316" s="12"/>
    </row>
    <row r="317" ht="14.25" customHeight="1">
      <c r="A317" s="8"/>
      <c r="B317" s="9"/>
      <c r="C317" s="12"/>
      <c r="D317" s="12"/>
      <c r="E317" s="12"/>
      <c r="F317" s="12"/>
      <c r="G317" s="12"/>
      <c r="H317" s="12"/>
      <c r="I317" s="12"/>
      <c r="J317" s="12"/>
      <c r="K317" s="12"/>
      <c r="L317" s="12"/>
    </row>
    <row r="318" ht="14.25" customHeight="1">
      <c r="A318" s="8"/>
      <c r="B318" s="9"/>
      <c r="C318" s="12"/>
      <c r="D318" s="12"/>
      <c r="E318" s="12"/>
      <c r="F318" s="12"/>
      <c r="G318" s="12"/>
      <c r="H318" s="12"/>
      <c r="I318" s="12"/>
      <c r="J318" s="12"/>
      <c r="K318" s="12"/>
      <c r="L318" s="12"/>
    </row>
    <row r="319" ht="14.25" customHeight="1">
      <c r="A319" s="8"/>
      <c r="B319" s="9"/>
      <c r="C319" s="12"/>
      <c r="D319" s="12"/>
      <c r="E319" s="12"/>
      <c r="F319" s="12"/>
      <c r="G319" s="12"/>
      <c r="H319" s="12"/>
      <c r="I319" s="12"/>
      <c r="J319" s="12"/>
      <c r="K319" s="12"/>
      <c r="L319" s="12"/>
    </row>
    <row r="320" ht="14.25" customHeight="1">
      <c r="A320" s="8"/>
      <c r="B320" s="9"/>
      <c r="C320" s="12"/>
      <c r="D320" s="12"/>
      <c r="E320" s="12"/>
      <c r="F320" s="12"/>
      <c r="G320" s="12"/>
      <c r="H320" s="12"/>
      <c r="I320" s="12"/>
      <c r="J320" s="12"/>
      <c r="K320" s="12"/>
      <c r="L320" s="12"/>
    </row>
    <row r="321" ht="14.25" customHeight="1">
      <c r="A321" s="8"/>
      <c r="B321" s="9"/>
      <c r="C321" s="12"/>
      <c r="D321" s="12"/>
      <c r="E321" s="12"/>
      <c r="F321" s="12"/>
      <c r="G321" s="12"/>
      <c r="H321" s="12"/>
      <c r="I321" s="12"/>
      <c r="J321" s="12"/>
      <c r="K321" s="12"/>
      <c r="L321" s="12"/>
    </row>
    <row r="322" ht="14.25" customHeight="1">
      <c r="A322" s="8"/>
      <c r="B322" s="9"/>
      <c r="C322" s="12"/>
      <c r="D322" s="12"/>
      <c r="E322" s="12"/>
      <c r="F322" s="12"/>
      <c r="G322" s="12"/>
      <c r="H322" s="12"/>
      <c r="I322" s="12"/>
      <c r="J322" s="12"/>
      <c r="K322" s="12"/>
      <c r="L322" s="12"/>
    </row>
    <row r="323" ht="14.25" customHeight="1">
      <c r="A323" s="8"/>
      <c r="B323" s="9"/>
      <c r="C323" s="12"/>
      <c r="D323" s="12"/>
      <c r="E323" s="12"/>
      <c r="F323" s="12"/>
      <c r="G323" s="12"/>
      <c r="H323" s="12"/>
      <c r="I323" s="12"/>
      <c r="J323" s="12"/>
      <c r="K323" s="12"/>
      <c r="L323" s="12"/>
    </row>
    <row r="324" ht="14.25" customHeight="1">
      <c r="A324" s="8"/>
      <c r="B324" s="9"/>
      <c r="C324" s="12"/>
      <c r="D324" s="12"/>
      <c r="E324" s="12"/>
      <c r="F324" s="12"/>
      <c r="G324" s="12"/>
      <c r="H324" s="12"/>
      <c r="I324" s="12"/>
      <c r="J324" s="12"/>
      <c r="K324" s="12"/>
      <c r="L324" s="12"/>
    </row>
    <row r="325" ht="14.25" customHeight="1">
      <c r="A325" s="8"/>
      <c r="B325" s="9"/>
      <c r="C325" s="12"/>
      <c r="D325" s="12"/>
      <c r="E325" s="12"/>
      <c r="F325" s="12"/>
      <c r="G325" s="12"/>
      <c r="H325" s="12"/>
      <c r="I325" s="12"/>
      <c r="J325" s="12"/>
      <c r="K325" s="12"/>
      <c r="L325" s="12"/>
    </row>
    <row r="326" ht="14.25" customHeight="1">
      <c r="A326" s="8"/>
      <c r="B326" s="9"/>
      <c r="C326" s="12"/>
      <c r="D326" s="12"/>
      <c r="E326" s="12"/>
      <c r="F326" s="12"/>
      <c r="G326" s="12"/>
      <c r="H326" s="12"/>
      <c r="I326" s="12"/>
      <c r="J326" s="12"/>
      <c r="K326" s="12"/>
      <c r="L326" s="12"/>
    </row>
    <row r="327" ht="14.25" customHeight="1">
      <c r="A327" s="8"/>
      <c r="B327" s="9"/>
      <c r="C327" s="12"/>
      <c r="D327" s="12"/>
      <c r="E327" s="12"/>
      <c r="F327" s="12"/>
      <c r="G327" s="12"/>
      <c r="H327" s="12"/>
      <c r="I327" s="12"/>
      <c r="J327" s="12"/>
      <c r="K327" s="12"/>
      <c r="L327" s="12"/>
    </row>
    <row r="328" ht="14.25" customHeight="1">
      <c r="A328" s="8"/>
      <c r="B328" s="9"/>
      <c r="C328" s="12"/>
      <c r="D328" s="12"/>
      <c r="E328" s="12"/>
      <c r="F328" s="12"/>
      <c r="G328" s="12"/>
      <c r="H328" s="12"/>
      <c r="I328" s="12"/>
      <c r="J328" s="12"/>
      <c r="K328" s="12"/>
      <c r="L328" s="12"/>
    </row>
    <row r="329" ht="14.25" customHeight="1">
      <c r="A329" s="8"/>
      <c r="B329" s="9"/>
      <c r="C329" s="12"/>
      <c r="D329" s="12"/>
      <c r="E329" s="12"/>
      <c r="F329" s="12"/>
      <c r="G329" s="12"/>
      <c r="H329" s="12"/>
      <c r="I329" s="12"/>
      <c r="J329" s="12"/>
      <c r="K329" s="12"/>
      <c r="L329" s="12"/>
    </row>
    <row r="330" ht="14.25" customHeight="1">
      <c r="A330" s="8"/>
      <c r="B330" s="9"/>
      <c r="C330" s="12"/>
      <c r="D330" s="12"/>
      <c r="E330" s="12"/>
      <c r="F330" s="12"/>
      <c r="G330" s="12"/>
      <c r="H330" s="12"/>
      <c r="I330" s="12"/>
      <c r="J330" s="12"/>
      <c r="K330" s="12"/>
      <c r="L330" s="12"/>
    </row>
    <row r="331" ht="14.25" customHeight="1">
      <c r="A331" s="8"/>
      <c r="B331" s="9"/>
      <c r="C331" s="12"/>
      <c r="D331" s="12"/>
      <c r="E331" s="12"/>
      <c r="F331" s="12"/>
      <c r="G331" s="12"/>
      <c r="H331" s="12"/>
      <c r="I331" s="12"/>
      <c r="J331" s="12"/>
      <c r="K331" s="12"/>
      <c r="L331" s="12"/>
    </row>
    <row r="332" ht="14.25" customHeight="1">
      <c r="A332" s="8"/>
      <c r="B332" s="9"/>
      <c r="C332" s="12"/>
      <c r="D332" s="12"/>
      <c r="E332" s="12"/>
      <c r="F332" s="12"/>
      <c r="G332" s="12"/>
      <c r="H332" s="12"/>
      <c r="I332" s="12"/>
      <c r="J332" s="12"/>
      <c r="K332" s="12"/>
      <c r="L332" s="12"/>
    </row>
    <row r="333" ht="14.25" customHeight="1">
      <c r="A333" s="8"/>
      <c r="B333" s="9"/>
      <c r="C333" s="12"/>
      <c r="D333" s="12"/>
      <c r="E333" s="12"/>
      <c r="F333" s="12"/>
      <c r="G333" s="12"/>
      <c r="H333" s="12"/>
      <c r="I333" s="12"/>
      <c r="J333" s="12"/>
      <c r="K333" s="12"/>
      <c r="L333" s="12"/>
    </row>
    <row r="334" ht="14.25" customHeight="1">
      <c r="A334" s="8"/>
      <c r="B334" s="9"/>
      <c r="C334" s="12"/>
      <c r="D334" s="12"/>
      <c r="E334" s="12"/>
      <c r="F334" s="12"/>
      <c r="G334" s="12"/>
      <c r="H334" s="12"/>
      <c r="I334" s="12"/>
      <c r="J334" s="12"/>
      <c r="K334" s="12"/>
      <c r="L334" s="12"/>
    </row>
    <row r="335" ht="14.25" customHeight="1">
      <c r="A335" s="8"/>
      <c r="B335" s="9"/>
      <c r="C335" s="12"/>
      <c r="D335" s="12"/>
      <c r="E335" s="12"/>
      <c r="F335" s="12"/>
      <c r="G335" s="12"/>
      <c r="H335" s="12"/>
      <c r="I335" s="12"/>
      <c r="J335" s="12"/>
      <c r="K335" s="12"/>
      <c r="L335" s="12"/>
    </row>
    <row r="336" ht="14.25" customHeight="1">
      <c r="A336" s="8"/>
      <c r="B336" s="9"/>
      <c r="C336" s="12"/>
      <c r="D336" s="12"/>
      <c r="E336" s="12"/>
      <c r="F336" s="12"/>
      <c r="G336" s="12"/>
      <c r="H336" s="12"/>
      <c r="I336" s="12"/>
      <c r="J336" s="12"/>
      <c r="K336" s="12"/>
      <c r="L336" s="12"/>
    </row>
    <row r="337" ht="14.25" customHeight="1">
      <c r="A337" s="8"/>
      <c r="B337" s="9"/>
      <c r="C337" s="12"/>
      <c r="D337" s="12"/>
      <c r="E337" s="12"/>
      <c r="F337" s="12"/>
      <c r="G337" s="12"/>
      <c r="H337" s="12"/>
      <c r="I337" s="12"/>
      <c r="J337" s="12"/>
      <c r="K337" s="12"/>
      <c r="L337" s="12"/>
    </row>
    <row r="338" ht="14.25" customHeight="1">
      <c r="A338" s="8"/>
      <c r="B338" s="9"/>
      <c r="C338" s="12"/>
      <c r="D338" s="12"/>
      <c r="E338" s="12"/>
      <c r="F338" s="12"/>
      <c r="G338" s="12"/>
      <c r="H338" s="12"/>
      <c r="I338" s="12"/>
      <c r="J338" s="12"/>
      <c r="K338" s="12"/>
      <c r="L338" s="12"/>
    </row>
    <row r="339" ht="14.25" customHeight="1">
      <c r="A339" s="8"/>
      <c r="B339" s="9"/>
      <c r="C339" s="12"/>
      <c r="D339" s="12"/>
      <c r="E339" s="12"/>
      <c r="F339" s="12"/>
      <c r="G339" s="12"/>
      <c r="H339" s="12"/>
      <c r="I339" s="12"/>
      <c r="J339" s="12"/>
      <c r="K339" s="12"/>
      <c r="L339" s="12"/>
    </row>
    <row r="340" ht="14.25" customHeight="1">
      <c r="A340" s="8"/>
      <c r="B340" s="9"/>
      <c r="C340" s="12"/>
      <c r="D340" s="12"/>
      <c r="E340" s="12"/>
      <c r="F340" s="12"/>
      <c r="G340" s="12"/>
      <c r="H340" s="12"/>
      <c r="I340" s="12"/>
      <c r="J340" s="12"/>
      <c r="K340" s="12"/>
      <c r="L340" s="12"/>
    </row>
    <row r="341" ht="14.25" customHeight="1">
      <c r="A341" s="8"/>
      <c r="B341" s="9"/>
      <c r="C341" s="12"/>
      <c r="D341" s="12"/>
      <c r="E341" s="12"/>
      <c r="F341" s="12"/>
      <c r="G341" s="12"/>
      <c r="H341" s="12"/>
      <c r="I341" s="12"/>
      <c r="J341" s="12"/>
      <c r="K341" s="12"/>
      <c r="L341" s="12"/>
    </row>
    <row r="342" ht="14.25" customHeight="1">
      <c r="A342" s="8"/>
      <c r="B342" s="9"/>
      <c r="C342" s="12"/>
      <c r="D342" s="12"/>
      <c r="E342" s="12"/>
      <c r="F342" s="12"/>
      <c r="G342" s="12"/>
      <c r="H342" s="12"/>
      <c r="I342" s="12"/>
      <c r="J342" s="12"/>
      <c r="K342" s="12"/>
      <c r="L342" s="12"/>
    </row>
    <row r="343" ht="14.25" customHeight="1">
      <c r="A343" s="8"/>
      <c r="B343" s="9"/>
      <c r="C343" s="12"/>
      <c r="D343" s="12"/>
      <c r="E343" s="12"/>
      <c r="F343" s="12"/>
      <c r="G343" s="12"/>
      <c r="H343" s="12"/>
      <c r="I343" s="12"/>
      <c r="J343" s="12"/>
      <c r="K343" s="12"/>
      <c r="L343" s="12"/>
    </row>
    <row r="344" ht="14.25" customHeight="1">
      <c r="A344" s="8"/>
      <c r="B344" s="9"/>
      <c r="C344" s="12"/>
      <c r="D344" s="12"/>
      <c r="E344" s="12"/>
      <c r="F344" s="12"/>
      <c r="G344" s="12"/>
      <c r="H344" s="12"/>
      <c r="I344" s="12"/>
      <c r="J344" s="12"/>
      <c r="K344" s="12"/>
      <c r="L344" s="12"/>
    </row>
    <row r="345" ht="14.25" customHeight="1">
      <c r="A345" s="8"/>
      <c r="B345" s="9"/>
      <c r="C345" s="12"/>
      <c r="D345" s="12"/>
      <c r="E345" s="12"/>
      <c r="F345" s="12"/>
      <c r="G345" s="12"/>
      <c r="H345" s="12"/>
      <c r="I345" s="12"/>
      <c r="J345" s="12"/>
      <c r="K345" s="12"/>
      <c r="L345" s="12"/>
    </row>
    <row r="346" ht="14.25" customHeight="1">
      <c r="A346" s="8"/>
      <c r="B346" s="9"/>
      <c r="C346" s="12"/>
      <c r="D346" s="12"/>
      <c r="E346" s="12"/>
      <c r="F346" s="12"/>
      <c r="G346" s="12"/>
      <c r="H346" s="12"/>
      <c r="I346" s="12"/>
      <c r="J346" s="12"/>
      <c r="K346" s="12"/>
      <c r="L346" s="12"/>
    </row>
    <row r="347" ht="14.25" customHeight="1">
      <c r="A347" s="8"/>
      <c r="B347" s="9"/>
      <c r="C347" s="12"/>
      <c r="D347" s="12"/>
      <c r="E347" s="12"/>
      <c r="F347" s="12"/>
      <c r="G347" s="12"/>
      <c r="H347" s="12"/>
      <c r="I347" s="12"/>
      <c r="J347" s="12"/>
      <c r="K347" s="12"/>
      <c r="L347" s="12"/>
    </row>
    <row r="348" ht="14.25" customHeight="1">
      <c r="A348" s="8"/>
      <c r="B348" s="9"/>
      <c r="C348" s="12"/>
      <c r="D348" s="12"/>
      <c r="E348" s="12"/>
      <c r="F348" s="12"/>
      <c r="G348" s="12"/>
      <c r="H348" s="12"/>
      <c r="I348" s="12"/>
      <c r="J348" s="12"/>
      <c r="K348" s="12"/>
      <c r="L348" s="12"/>
    </row>
    <row r="349" ht="14.25" customHeight="1">
      <c r="A349" s="8"/>
      <c r="B349" s="9"/>
      <c r="C349" s="12"/>
      <c r="D349" s="12"/>
      <c r="E349" s="12"/>
      <c r="F349" s="12"/>
      <c r="G349" s="12"/>
      <c r="H349" s="12"/>
      <c r="I349" s="12"/>
      <c r="J349" s="12"/>
      <c r="K349" s="12"/>
      <c r="L349" s="12"/>
    </row>
    <row r="350" ht="14.25" customHeight="1">
      <c r="A350" s="8"/>
      <c r="B350" s="9"/>
      <c r="C350" s="12"/>
      <c r="D350" s="12"/>
      <c r="E350" s="12"/>
      <c r="F350" s="12"/>
      <c r="G350" s="12"/>
      <c r="H350" s="12"/>
      <c r="I350" s="12"/>
      <c r="J350" s="12"/>
      <c r="K350" s="12"/>
      <c r="L350" s="12"/>
    </row>
    <row r="351" ht="14.25" customHeight="1">
      <c r="A351" s="8"/>
      <c r="B351" s="9"/>
      <c r="C351" s="12"/>
      <c r="D351" s="12"/>
      <c r="E351" s="12"/>
      <c r="F351" s="12"/>
      <c r="G351" s="12"/>
      <c r="H351" s="12"/>
      <c r="I351" s="12"/>
      <c r="J351" s="12"/>
      <c r="K351" s="12"/>
      <c r="L351" s="12"/>
    </row>
    <row r="352" ht="14.25" customHeight="1">
      <c r="A352" s="8"/>
      <c r="B352" s="9"/>
      <c r="C352" s="12"/>
      <c r="D352" s="12"/>
      <c r="E352" s="12"/>
      <c r="F352" s="12"/>
      <c r="G352" s="12"/>
      <c r="H352" s="12"/>
      <c r="I352" s="12"/>
      <c r="J352" s="12"/>
      <c r="K352" s="12"/>
      <c r="L352" s="12"/>
    </row>
    <row r="353" ht="14.25" customHeight="1">
      <c r="A353" s="8"/>
      <c r="B353" s="9"/>
      <c r="C353" s="12"/>
      <c r="D353" s="12"/>
      <c r="E353" s="12"/>
      <c r="F353" s="12"/>
      <c r="G353" s="12"/>
      <c r="H353" s="12"/>
      <c r="I353" s="12"/>
      <c r="J353" s="12"/>
      <c r="K353" s="12"/>
      <c r="L353" s="12"/>
    </row>
    <row r="354" ht="14.25" customHeight="1">
      <c r="A354" s="8"/>
      <c r="B354" s="9"/>
      <c r="C354" s="12"/>
      <c r="D354" s="12"/>
      <c r="E354" s="12"/>
      <c r="F354" s="12"/>
      <c r="G354" s="12"/>
      <c r="H354" s="12"/>
      <c r="I354" s="12"/>
      <c r="J354" s="12"/>
      <c r="K354" s="12"/>
      <c r="L354" s="12"/>
    </row>
    <row r="355" ht="14.25" customHeight="1">
      <c r="A355" s="8"/>
      <c r="B355" s="9"/>
      <c r="C355" s="12"/>
      <c r="D355" s="12"/>
      <c r="E355" s="12"/>
      <c r="F355" s="12"/>
      <c r="G355" s="12"/>
      <c r="H355" s="12"/>
      <c r="I355" s="12"/>
      <c r="J355" s="12"/>
      <c r="K355" s="12"/>
      <c r="L355" s="12"/>
    </row>
    <row r="356" ht="14.25" customHeight="1">
      <c r="A356" s="8"/>
      <c r="B356" s="9"/>
      <c r="C356" s="12"/>
      <c r="D356" s="12"/>
      <c r="E356" s="12"/>
      <c r="F356" s="12"/>
      <c r="G356" s="12"/>
      <c r="H356" s="12"/>
      <c r="I356" s="12"/>
      <c r="J356" s="12"/>
      <c r="K356" s="12"/>
      <c r="L356" s="12"/>
    </row>
    <row r="357" ht="14.25" customHeight="1">
      <c r="A357" s="8"/>
      <c r="B357" s="9"/>
      <c r="C357" s="12"/>
      <c r="D357" s="12"/>
      <c r="E357" s="12"/>
      <c r="F357" s="12"/>
      <c r="G357" s="12"/>
      <c r="H357" s="12"/>
      <c r="I357" s="12"/>
      <c r="J357" s="12"/>
      <c r="K357" s="12"/>
      <c r="L357" s="12"/>
    </row>
    <row r="358" ht="14.25" customHeight="1">
      <c r="A358" s="8"/>
      <c r="B358" s="9"/>
      <c r="C358" s="12"/>
      <c r="D358" s="12"/>
      <c r="E358" s="12"/>
      <c r="F358" s="12"/>
      <c r="G358" s="12"/>
      <c r="H358" s="12"/>
      <c r="I358" s="12"/>
      <c r="J358" s="12"/>
      <c r="K358" s="12"/>
      <c r="L358" s="12"/>
    </row>
    <row r="359" ht="14.25" customHeight="1">
      <c r="A359" s="8"/>
      <c r="B359" s="9"/>
      <c r="C359" s="12"/>
      <c r="D359" s="12"/>
      <c r="E359" s="12"/>
      <c r="F359" s="12"/>
      <c r="G359" s="12"/>
      <c r="H359" s="12"/>
      <c r="I359" s="12"/>
      <c r="J359" s="12"/>
      <c r="K359" s="12"/>
      <c r="L359" s="12"/>
    </row>
    <row r="360" ht="14.25" customHeight="1">
      <c r="A360" s="8"/>
      <c r="B360" s="9"/>
      <c r="C360" s="12"/>
      <c r="D360" s="12"/>
      <c r="E360" s="12"/>
      <c r="F360" s="12"/>
      <c r="G360" s="12"/>
      <c r="H360" s="12"/>
      <c r="I360" s="12"/>
      <c r="J360" s="12"/>
      <c r="K360" s="12"/>
      <c r="L360" s="12"/>
    </row>
    <row r="361" ht="14.25" customHeight="1">
      <c r="A361" s="8"/>
      <c r="B361" s="9"/>
      <c r="C361" s="12"/>
      <c r="D361" s="12"/>
      <c r="E361" s="12"/>
      <c r="F361" s="12"/>
      <c r="G361" s="12"/>
      <c r="H361" s="12"/>
      <c r="I361" s="12"/>
      <c r="J361" s="12"/>
      <c r="K361" s="12"/>
      <c r="L361" s="12"/>
    </row>
    <row r="362" ht="14.25" customHeight="1">
      <c r="A362" s="8"/>
      <c r="B362" s="9"/>
      <c r="C362" s="12"/>
      <c r="D362" s="12"/>
      <c r="E362" s="12"/>
      <c r="F362" s="12"/>
      <c r="G362" s="12"/>
      <c r="H362" s="12"/>
      <c r="I362" s="12"/>
      <c r="J362" s="12"/>
      <c r="K362" s="12"/>
      <c r="L362" s="12"/>
    </row>
    <row r="363" ht="14.25" customHeight="1">
      <c r="A363" s="8"/>
      <c r="B363" s="9"/>
      <c r="C363" s="12"/>
      <c r="D363" s="12"/>
      <c r="E363" s="12"/>
      <c r="F363" s="12"/>
      <c r="G363" s="12"/>
      <c r="H363" s="12"/>
      <c r="I363" s="12"/>
      <c r="J363" s="12"/>
      <c r="K363" s="12"/>
      <c r="L363" s="12"/>
    </row>
    <row r="364" ht="14.25" customHeight="1">
      <c r="A364" s="8"/>
      <c r="B364" s="9"/>
      <c r="C364" s="12"/>
      <c r="D364" s="12"/>
      <c r="E364" s="12"/>
      <c r="F364" s="12"/>
      <c r="G364" s="12"/>
      <c r="H364" s="12"/>
      <c r="I364" s="12"/>
      <c r="J364" s="12"/>
      <c r="K364" s="12"/>
      <c r="L364" s="12"/>
    </row>
    <row r="365" ht="14.25" customHeight="1">
      <c r="A365" s="8"/>
      <c r="B365" s="9"/>
      <c r="C365" s="12"/>
      <c r="D365" s="12"/>
      <c r="E365" s="12"/>
      <c r="F365" s="12"/>
      <c r="G365" s="12"/>
      <c r="H365" s="12"/>
      <c r="I365" s="12"/>
      <c r="J365" s="12"/>
      <c r="K365" s="12"/>
      <c r="L365" s="12"/>
    </row>
    <row r="366" ht="14.25" customHeight="1">
      <c r="A366" s="8"/>
      <c r="B366" s="9"/>
      <c r="C366" s="12"/>
      <c r="D366" s="12"/>
      <c r="E366" s="12"/>
      <c r="F366" s="12"/>
      <c r="G366" s="12"/>
      <c r="H366" s="12"/>
      <c r="I366" s="12"/>
      <c r="J366" s="12"/>
      <c r="K366" s="12"/>
      <c r="L366" s="12"/>
    </row>
    <row r="367" ht="14.25" customHeight="1">
      <c r="A367" s="8"/>
      <c r="B367" s="9"/>
      <c r="C367" s="12"/>
      <c r="D367" s="12"/>
      <c r="E367" s="12"/>
      <c r="F367" s="12"/>
      <c r="G367" s="12"/>
      <c r="H367" s="12"/>
      <c r="I367" s="12"/>
      <c r="J367" s="12"/>
      <c r="K367" s="12"/>
      <c r="L367" s="12"/>
    </row>
    <row r="368" ht="14.25" customHeight="1">
      <c r="A368" s="8"/>
      <c r="B368" s="9"/>
      <c r="C368" s="12"/>
      <c r="D368" s="12"/>
      <c r="E368" s="12"/>
      <c r="F368" s="12"/>
      <c r="G368" s="12"/>
      <c r="H368" s="12"/>
      <c r="I368" s="12"/>
      <c r="J368" s="12"/>
      <c r="K368" s="12"/>
      <c r="L368" s="12"/>
    </row>
    <row r="369" ht="14.25" customHeight="1">
      <c r="A369" s="8"/>
      <c r="B369" s="9"/>
      <c r="C369" s="12"/>
      <c r="D369" s="12"/>
      <c r="E369" s="12"/>
      <c r="F369" s="12"/>
      <c r="G369" s="12"/>
      <c r="H369" s="12"/>
      <c r="I369" s="12"/>
      <c r="J369" s="12"/>
      <c r="K369" s="12"/>
      <c r="L369" s="12"/>
    </row>
    <row r="370" ht="14.25" customHeight="1">
      <c r="A370" s="8"/>
      <c r="B370" s="9"/>
      <c r="C370" s="12"/>
      <c r="D370" s="12"/>
      <c r="E370" s="12"/>
      <c r="F370" s="12"/>
      <c r="G370" s="12"/>
      <c r="H370" s="12"/>
      <c r="I370" s="12"/>
      <c r="J370" s="12"/>
      <c r="K370" s="12"/>
      <c r="L370" s="12"/>
    </row>
    <row r="371" ht="14.25" customHeight="1">
      <c r="A371" s="8"/>
      <c r="B371" s="9"/>
      <c r="C371" s="12"/>
      <c r="D371" s="12"/>
      <c r="E371" s="12"/>
      <c r="F371" s="12"/>
      <c r="G371" s="12"/>
      <c r="H371" s="12"/>
      <c r="I371" s="12"/>
      <c r="J371" s="12"/>
      <c r="K371" s="12"/>
      <c r="L371" s="12"/>
    </row>
    <row r="372" ht="14.25" customHeight="1">
      <c r="A372" s="8"/>
      <c r="B372" s="9"/>
      <c r="C372" s="12"/>
      <c r="D372" s="12"/>
      <c r="E372" s="12"/>
      <c r="F372" s="12"/>
      <c r="G372" s="12"/>
      <c r="H372" s="12"/>
      <c r="I372" s="12"/>
      <c r="J372" s="12"/>
      <c r="K372" s="12"/>
      <c r="L372" s="12"/>
    </row>
    <row r="373" ht="14.25" customHeight="1">
      <c r="A373" s="8"/>
      <c r="B373" s="9"/>
      <c r="C373" s="12"/>
      <c r="D373" s="12"/>
      <c r="E373" s="12"/>
      <c r="F373" s="12"/>
      <c r="G373" s="12"/>
      <c r="H373" s="12"/>
      <c r="I373" s="12"/>
      <c r="J373" s="12"/>
      <c r="K373" s="12"/>
      <c r="L373" s="12"/>
    </row>
    <row r="374" ht="14.25" customHeight="1">
      <c r="A374" s="8"/>
      <c r="B374" s="9"/>
      <c r="C374" s="12"/>
      <c r="D374" s="12"/>
      <c r="E374" s="12"/>
      <c r="F374" s="12"/>
      <c r="G374" s="12"/>
      <c r="H374" s="12"/>
      <c r="I374" s="12"/>
      <c r="J374" s="12"/>
      <c r="K374" s="12"/>
      <c r="L374" s="12"/>
    </row>
    <row r="375" ht="14.25" customHeight="1">
      <c r="A375" s="8"/>
      <c r="B375" s="9"/>
      <c r="C375" s="12"/>
      <c r="D375" s="12"/>
      <c r="E375" s="12"/>
      <c r="F375" s="12"/>
      <c r="G375" s="12"/>
      <c r="H375" s="12"/>
      <c r="I375" s="12"/>
      <c r="J375" s="12"/>
      <c r="K375" s="12"/>
      <c r="L375" s="12"/>
    </row>
    <row r="376" ht="14.25" customHeight="1">
      <c r="A376" s="8"/>
      <c r="B376" s="9"/>
      <c r="C376" s="12"/>
      <c r="D376" s="12"/>
      <c r="E376" s="12"/>
      <c r="F376" s="12"/>
      <c r="G376" s="12"/>
      <c r="H376" s="12"/>
      <c r="I376" s="12"/>
      <c r="J376" s="12"/>
      <c r="K376" s="12"/>
      <c r="L376" s="12"/>
    </row>
    <row r="377" ht="14.25" customHeight="1">
      <c r="A377" s="8"/>
      <c r="B377" s="9"/>
      <c r="C377" s="12"/>
      <c r="D377" s="12"/>
      <c r="E377" s="12"/>
      <c r="F377" s="12"/>
      <c r="G377" s="12"/>
      <c r="H377" s="12"/>
      <c r="I377" s="12"/>
      <c r="J377" s="12"/>
      <c r="K377" s="12"/>
      <c r="L377" s="12"/>
    </row>
    <row r="378" ht="14.25" customHeight="1">
      <c r="A378" s="8"/>
      <c r="B378" s="9"/>
      <c r="C378" s="12"/>
      <c r="D378" s="12"/>
      <c r="E378" s="12"/>
      <c r="F378" s="12"/>
      <c r="G378" s="12"/>
      <c r="H378" s="12"/>
      <c r="I378" s="12"/>
      <c r="J378" s="12"/>
      <c r="K378" s="12"/>
      <c r="L378" s="12"/>
    </row>
    <row r="379" ht="14.25" customHeight="1">
      <c r="A379" s="8"/>
      <c r="B379" s="9"/>
      <c r="C379" s="12"/>
      <c r="D379" s="12"/>
      <c r="E379" s="12"/>
      <c r="F379" s="12"/>
      <c r="G379" s="12"/>
      <c r="H379" s="12"/>
      <c r="I379" s="12"/>
      <c r="J379" s="12"/>
      <c r="K379" s="12"/>
      <c r="L379" s="12"/>
    </row>
    <row r="380" ht="14.25" customHeight="1">
      <c r="A380" s="8"/>
      <c r="B380" s="9"/>
      <c r="C380" s="12"/>
      <c r="D380" s="12"/>
      <c r="E380" s="12"/>
      <c r="F380" s="12"/>
      <c r="G380" s="12"/>
      <c r="H380" s="12"/>
      <c r="I380" s="12"/>
      <c r="J380" s="12"/>
      <c r="K380" s="12"/>
      <c r="L380" s="12"/>
    </row>
    <row r="381" ht="14.25" customHeight="1">
      <c r="A381" s="8"/>
      <c r="B381" s="9"/>
      <c r="C381" s="12"/>
      <c r="D381" s="12"/>
      <c r="E381" s="12"/>
      <c r="F381" s="12"/>
      <c r="G381" s="12"/>
      <c r="H381" s="12"/>
      <c r="I381" s="12"/>
      <c r="J381" s="12"/>
      <c r="K381" s="12"/>
      <c r="L381" s="12"/>
    </row>
    <row r="382" ht="14.25" customHeight="1">
      <c r="A382" s="8"/>
      <c r="B382" s="9"/>
      <c r="C382" s="12"/>
      <c r="D382" s="12"/>
      <c r="E382" s="12"/>
      <c r="F382" s="12"/>
      <c r="G382" s="12"/>
      <c r="H382" s="12"/>
      <c r="I382" s="12"/>
      <c r="J382" s="12"/>
      <c r="K382" s="12"/>
      <c r="L382" s="12"/>
    </row>
    <row r="383" ht="14.25" customHeight="1">
      <c r="A383" s="8"/>
      <c r="B383" s="9"/>
      <c r="C383" s="12"/>
      <c r="D383" s="12"/>
      <c r="E383" s="12"/>
      <c r="F383" s="12"/>
      <c r="G383" s="12"/>
      <c r="H383" s="12"/>
      <c r="I383" s="12"/>
      <c r="J383" s="12"/>
      <c r="K383" s="12"/>
      <c r="L383" s="12"/>
    </row>
    <row r="384" ht="14.25" customHeight="1">
      <c r="A384" s="8"/>
      <c r="B384" s="9"/>
      <c r="C384" s="12"/>
      <c r="D384" s="12"/>
      <c r="E384" s="12"/>
      <c r="F384" s="12"/>
      <c r="G384" s="12"/>
      <c r="H384" s="12"/>
      <c r="I384" s="12"/>
      <c r="J384" s="12"/>
      <c r="K384" s="12"/>
      <c r="L384" s="12"/>
    </row>
    <row r="385" ht="14.25" customHeight="1">
      <c r="A385" s="8"/>
      <c r="B385" s="9"/>
      <c r="C385" s="12"/>
      <c r="D385" s="12"/>
      <c r="E385" s="12"/>
      <c r="F385" s="12"/>
      <c r="G385" s="12"/>
      <c r="H385" s="12"/>
      <c r="I385" s="12"/>
      <c r="J385" s="12"/>
      <c r="K385" s="12"/>
      <c r="L385" s="12"/>
    </row>
    <row r="386" ht="14.25" customHeight="1">
      <c r="A386" s="8"/>
      <c r="B386" s="9"/>
      <c r="C386" s="12"/>
      <c r="D386" s="12"/>
      <c r="E386" s="12"/>
      <c r="F386" s="12"/>
      <c r="G386" s="12"/>
      <c r="H386" s="12"/>
      <c r="I386" s="12"/>
      <c r="J386" s="12"/>
      <c r="K386" s="12"/>
      <c r="L386" s="12"/>
    </row>
    <row r="387" ht="14.25" customHeight="1">
      <c r="A387" s="8"/>
      <c r="B387" s="9"/>
      <c r="C387" s="12"/>
      <c r="D387" s="12"/>
      <c r="E387" s="12"/>
      <c r="F387" s="12"/>
      <c r="G387" s="12"/>
      <c r="H387" s="12"/>
      <c r="I387" s="12"/>
      <c r="J387" s="12"/>
      <c r="K387" s="12"/>
      <c r="L387" s="12"/>
    </row>
    <row r="388" ht="14.25" customHeight="1">
      <c r="A388" s="8"/>
      <c r="B388" s="9"/>
      <c r="C388" s="12"/>
      <c r="D388" s="12"/>
      <c r="E388" s="12"/>
      <c r="F388" s="12"/>
      <c r="G388" s="12"/>
      <c r="H388" s="12"/>
      <c r="I388" s="12"/>
      <c r="J388" s="12"/>
      <c r="K388" s="12"/>
      <c r="L388" s="12"/>
    </row>
    <row r="389" ht="14.25" customHeight="1">
      <c r="A389" s="8"/>
      <c r="B389" s="9"/>
      <c r="C389" s="12"/>
      <c r="D389" s="12"/>
      <c r="E389" s="12"/>
      <c r="F389" s="12"/>
      <c r="G389" s="12"/>
      <c r="H389" s="12"/>
      <c r="I389" s="12"/>
      <c r="J389" s="12"/>
      <c r="K389" s="12"/>
      <c r="L389" s="12"/>
    </row>
    <row r="390" ht="14.25" customHeight="1">
      <c r="A390" s="8"/>
      <c r="B390" s="9"/>
      <c r="C390" s="12"/>
      <c r="D390" s="12"/>
      <c r="E390" s="12"/>
      <c r="F390" s="12"/>
      <c r="G390" s="12"/>
      <c r="H390" s="12"/>
      <c r="I390" s="12"/>
      <c r="J390" s="12"/>
      <c r="K390" s="12"/>
      <c r="L390" s="12"/>
    </row>
    <row r="391" ht="14.25" customHeight="1">
      <c r="A391" s="8"/>
      <c r="B391" s="9"/>
      <c r="C391" s="12"/>
      <c r="D391" s="12"/>
      <c r="E391" s="12"/>
      <c r="F391" s="12"/>
      <c r="G391" s="12"/>
      <c r="H391" s="12"/>
      <c r="I391" s="12"/>
      <c r="J391" s="12"/>
      <c r="K391" s="12"/>
      <c r="L391" s="12"/>
    </row>
    <row r="392" ht="14.25" customHeight="1">
      <c r="A392" s="8"/>
      <c r="B392" s="9"/>
      <c r="C392" s="12"/>
      <c r="D392" s="12"/>
      <c r="E392" s="12"/>
      <c r="F392" s="12"/>
      <c r="G392" s="12"/>
      <c r="H392" s="12"/>
      <c r="I392" s="12"/>
      <c r="J392" s="12"/>
      <c r="K392" s="12"/>
      <c r="L392" s="12"/>
    </row>
    <row r="393" ht="14.25" customHeight="1">
      <c r="A393" s="8"/>
      <c r="B393" s="9"/>
      <c r="C393" s="12"/>
      <c r="D393" s="12"/>
      <c r="E393" s="12"/>
      <c r="F393" s="12"/>
      <c r="G393" s="12"/>
      <c r="H393" s="12"/>
      <c r="I393" s="12"/>
      <c r="J393" s="12"/>
      <c r="K393" s="12"/>
      <c r="L393" s="12"/>
    </row>
    <row r="394" ht="14.25" customHeight="1">
      <c r="A394" s="8"/>
      <c r="B394" s="9"/>
      <c r="C394" s="12"/>
      <c r="D394" s="12"/>
      <c r="E394" s="12"/>
      <c r="F394" s="12"/>
      <c r="G394" s="12"/>
      <c r="H394" s="12"/>
      <c r="I394" s="12"/>
      <c r="J394" s="12"/>
      <c r="K394" s="12"/>
      <c r="L394" s="12"/>
    </row>
    <row r="395" ht="14.25" customHeight="1">
      <c r="A395" s="8"/>
      <c r="B395" s="9"/>
      <c r="C395" s="12"/>
      <c r="D395" s="12"/>
      <c r="E395" s="12"/>
      <c r="F395" s="12"/>
      <c r="G395" s="12"/>
      <c r="H395" s="12"/>
      <c r="I395" s="12"/>
      <c r="J395" s="12"/>
      <c r="K395" s="12"/>
      <c r="L395" s="12"/>
    </row>
    <row r="396" ht="14.25" customHeight="1">
      <c r="A396" s="8"/>
      <c r="B396" s="9"/>
      <c r="C396" s="12"/>
      <c r="D396" s="12"/>
      <c r="E396" s="12"/>
      <c r="F396" s="12"/>
      <c r="G396" s="12"/>
      <c r="H396" s="12"/>
      <c r="I396" s="12"/>
      <c r="J396" s="12"/>
      <c r="K396" s="12"/>
      <c r="L396" s="12"/>
    </row>
    <row r="397" ht="14.25" customHeight="1">
      <c r="A397" s="8"/>
      <c r="B397" s="9"/>
      <c r="C397" s="12"/>
      <c r="D397" s="12"/>
      <c r="E397" s="12"/>
      <c r="F397" s="12"/>
      <c r="G397" s="12"/>
      <c r="H397" s="12"/>
      <c r="I397" s="12"/>
      <c r="J397" s="12"/>
      <c r="K397" s="12"/>
      <c r="L397" s="12"/>
    </row>
    <row r="398" ht="14.25" customHeight="1">
      <c r="A398" s="8"/>
      <c r="B398" s="9"/>
      <c r="C398" s="12"/>
      <c r="D398" s="12"/>
      <c r="E398" s="12"/>
      <c r="F398" s="12"/>
      <c r="G398" s="12"/>
      <c r="H398" s="12"/>
      <c r="I398" s="12"/>
      <c r="J398" s="12"/>
      <c r="K398" s="12"/>
      <c r="L398" s="12"/>
    </row>
    <row r="399" ht="14.25" customHeight="1">
      <c r="A399" s="8"/>
      <c r="B399" s="9"/>
      <c r="C399" s="12"/>
      <c r="D399" s="12"/>
      <c r="E399" s="12"/>
      <c r="F399" s="12"/>
      <c r="G399" s="12"/>
      <c r="H399" s="12"/>
      <c r="I399" s="12"/>
      <c r="J399" s="12"/>
      <c r="K399" s="12"/>
      <c r="L399" s="12"/>
    </row>
    <row r="400" ht="14.25" customHeight="1">
      <c r="A400" s="8"/>
      <c r="B400" s="9"/>
      <c r="C400" s="12"/>
      <c r="D400" s="12"/>
      <c r="E400" s="12"/>
      <c r="F400" s="12"/>
      <c r="G400" s="12"/>
      <c r="H400" s="12"/>
      <c r="I400" s="12"/>
      <c r="J400" s="12"/>
      <c r="K400" s="12"/>
      <c r="L400" s="12"/>
    </row>
    <row r="401" ht="14.25" customHeight="1">
      <c r="A401" s="8"/>
      <c r="B401" s="9"/>
      <c r="C401" s="12"/>
      <c r="D401" s="12"/>
      <c r="E401" s="12"/>
      <c r="F401" s="12"/>
      <c r="G401" s="12"/>
      <c r="H401" s="12"/>
      <c r="I401" s="12"/>
      <c r="J401" s="12"/>
      <c r="K401" s="12"/>
      <c r="L401" s="12"/>
    </row>
    <row r="402" ht="14.25" customHeight="1">
      <c r="A402" s="8"/>
      <c r="B402" s="9"/>
      <c r="C402" s="12"/>
      <c r="D402" s="12"/>
      <c r="E402" s="12"/>
      <c r="F402" s="12"/>
      <c r="G402" s="12"/>
      <c r="H402" s="12"/>
      <c r="I402" s="12"/>
      <c r="J402" s="12"/>
      <c r="K402" s="12"/>
      <c r="L402" s="12"/>
    </row>
    <row r="403" ht="14.25" customHeight="1">
      <c r="A403" s="8"/>
      <c r="B403" s="9"/>
      <c r="C403" s="12"/>
      <c r="D403" s="12"/>
      <c r="E403" s="12"/>
      <c r="F403" s="12"/>
      <c r="G403" s="12"/>
      <c r="H403" s="12"/>
      <c r="I403" s="12"/>
      <c r="J403" s="12"/>
      <c r="K403" s="12"/>
      <c r="L403" s="12"/>
    </row>
    <row r="404" ht="14.25" customHeight="1">
      <c r="A404" s="8"/>
      <c r="B404" s="9"/>
      <c r="C404" s="12"/>
      <c r="D404" s="12"/>
      <c r="E404" s="12"/>
      <c r="F404" s="12"/>
      <c r="G404" s="12"/>
      <c r="H404" s="12"/>
      <c r="I404" s="12"/>
      <c r="J404" s="12"/>
      <c r="K404" s="12"/>
      <c r="L404" s="12"/>
    </row>
    <row r="405" ht="14.25" customHeight="1">
      <c r="A405" s="8"/>
      <c r="B405" s="9"/>
      <c r="C405" s="12"/>
      <c r="D405" s="12"/>
      <c r="E405" s="12"/>
      <c r="F405" s="12"/>
      <c r="G405" s="12"/>
      <c r="H405" s="12"/>
      <c r="I405" s="12"/>
      <c r="J405" s="12"/>
      <c r="K405" s="12"/>
      <c r="L405" s="12"/>
    </row>
    <row r="406" ht="14.25" customHeight="1">
      <c r="A406" s="8"/>
      <c r="B406" s="9"/>
      <c r="C406" s="12"/>
      <c r="D406" s="12"/>
      <c r="E406" s="12"/>
      <c r="F406" s="12"/>
      <c r="G406" s="12"/>
      <c r="H406" s="12"/>
      <c r="I406" s="12"/>
      <c r="J406" s="12"/>
      <c r="K406" s="12"/>
      <c r="L406" s="12"/>
    </row>
    <row r="407" ht="14.25" customHeight="1">
      <c r="A407" s="8"/>
      <c r="B407" s="9"/>
      <c r="C407" s="12"/>
      <c r="D407" s="12"/>
      <c r="E407" s="12"/>
      <c r="F407" s="12"/>
      <c r="G407" s="12"/>
      <c r="H407" s="12"/>
      <c r="I407" s="12"/>
      <c r="J407" s="12"/>
      <c r="K407" s="12"/>
      <c r="L407" s="12"/>
    </row>
    <row r="408" ht="14.25" customHeight="1">
      <c r="A408" s="8"/>
      <c r="B408" s="9"/>
      <c r="C408" s="12"/>
      <c r="D408" s="12"/>
      <c r="E408" s="12"/>
      <c r="F408" s="12"/>
      <c r="G408" s="12"/>
      <c r="H408" s="12"/>
      <c r="I408" s="12"/>
      <c r="J408" s="12"/>
      <c r="K408" s="12"/>
      <c r="L408" s="12"/>
    </row>
    <row r="409" ht="14.25" customHeight="1">
      <c r="A409" s="8"/>
      <c r="B409" s="9"/>
      <c r="C409" s="12"/>
      <c r="D409" s="12"/>
      <c r="E409" s="12"/>
      <c r="F409" s="12"/>
      <c r="G409" s="12"/>
      <c r="H409" s="12"/>
      <c r="I409" s="12"/>
      <c r="J409" s="12"/>
      <c r="K409" s="12"/>
      <c r="L409" s="12"/>
    </row>
    <row r="410" ht="14.25" customHeight="1">
      <c r="A410" s="8"/>
      <c r="B410" s="9"/>
      <c r="C410" s="12"/>
      <c r="D410" s="12"/>
      <c r="E410" s="12"/>
      <c r="F410" s="12"/>
      <c r="G410" s="12"/>
      <c r="H410" s="12"/>
      <c r="I410" s="12"/>
      <c r="J410" s="12"/>
      <c r="K410" s="12"/>
      <c r="L410" s="12"/>
    </row>
    <row r="411" ht="14.25" customHeight="1">
      <c r="A411" s="8"/>
      <c r="B411" s="9"/>
      <c r="C411" s="12"/>
      <c r="D411" s="12"/>
      <c r="E411" s="12"/>
      <c r="F411" s="12"/>
      <c r="G411" s="12"/>
      <c r="H411" s="12"/>
      <c r="I411" s="12"/>
      <c r="J411" s="12"/>
      <c r="K411" s="12"/>
      <c r="L411" s="12"/>
    </row>
    <row r="412" ht="14.25" customHeight="1">
      <c r="A412" s="8"/>
      <c r="B412" s="9"/>
      <c r="C412" s="12"/>
      <c r="D412" s="12"/>
      <c r="E412" s="12"/>
      <c r="F412" s="12"/>
      <c r="G412" s="12"/>
      <c r="H412" s="12"/>
      <c r="I412" s="12"/>
      <c r="J412" s="12"/>
      <c r="K412" s="12"/>
      <c r="L412" s="12"/>
    </row>
    <row r="413" ht="14.25" customHeight="1">
      <c r="A413" s="8"/>
      <c r="B413" s="9"/>
      <c r="C413" s="12"/>
      <c r="D413" s="12"/>
      <c r="E413" s="12"/>
      <c r="F413" s="12"/>
      <c r="G413" s="12"/>
      <c r="H413" s="12"/>
      <c r="I413" s="12"/>
      <c r="J413" s="12"/>
      <c r="K413" s="12"/>
      <c r="L413" s="12"/>
    </row>
    <row r="414" ht="14.25" customHeight="1">
      <c r="A414" s="8"/>
      <c r="B414" s="9"/>
      <c r="C414" s="12"/>
      <c r="D414" s="12"/>
      <c r="E414" s="12"/>
      <c r="F414" s="12"/>
      <c r="G414" s="12"/>
      <c r="H414" s="12"/>
      <c r="I414" s="12"/>
      <c r="J414" s="12"/>
      <c r="K414" s="12"/>
      <c r="L414" s="12"/>
    </row>
    <row r="415" ht="14.25" customHeight="1">
      <c r="A415" s="8"/>
      <c r="B415" s="9"/>
      <c r="C415" s="12"/>
      <c r="D415" s="12"/>
      <c r="E415" s="12"/>
      <c r="F415" s="12"/>
      <c r="G415" s="12"/>
      <c r="H415" s="12"/>
      <c r="I415" s="12"/>
      <c r="J415" s="12"/>
      <c r="K415" s="12"/>
      <c r="L415" s="12"/>
    </row>
    <row r="416" ht="14.25" customHeight="1">
      <c r="A416" s="8"/>
      <c r="B416" s="9"/>
      <c r="C416" s="12"/>
      <c r="D416" s="12"/>
      <c r="E416" s="12"/>
      <c r="F416" s="12"/>
      <c r="G416" s="12"/>
      <c r="H416" s="12"/>
      <c r="I416" s="12"/>
      <c r="J416" s="12"/>
      <c r="K416" s="12"/>
      <c r="L416" s="12"/>
    </row>
    <row r="417" ht="14.25" customHeight="1">
      <c r="A417" s="8"/>
      <c r="B417" s="9"/>
      <c r="C417" s="12"/>
      <c r="D417" s="12"/>
      <c r="E417" s="12"/>
      <c r="F417" s="12"/>
      <c r="G417" s="12"/>
      <c r="H417" s="12"/>
      <c r="I417" s="12"/>
      <c r="J417" s="12"/>
      <c r="K417" s="12"/>
      <c r="L417" s="12"/>
    </row>
    <row r="418" ht="14.25" customHeight="1">
      <c r="A418" s="8"/>
      <c r="B418" s="9"/>
      <c r="C418" s="12"/>
      <c r="D418" s="12"/>
      <c r="E418" s="12"/>
      <c r="F418" s="12"/>
      <c r="G418" s="12"/>
      <c r="H418" s="12"/>
      <c r="I418" s="12"/>
      <c r="J418" s="12"/>
      <c r="K418" s="12"/>
      <c r="L418" s="12"/>
    </row>
    <row r="419" ht="14.25" customHeight="1">
      <c r="A419" s="8"/>
      <c r="B419" s="9"/>
      <c r="C419" s="12"/>
      <c r="D419" s="12"/>
      <c r="E419" s="12"/>
      <c r="F419" s="12"/>
      <c r="G419" s="12"/>
      <c r="H419" s="12"/>
      <c r="I419" s="12"/>
      <c r="J419" s="12"/>
      <c r="K419" s="12"/>
      <c r="L419" s="12"/>
    </row>
    <row r="420" ht="14.25" customHeight="1">
      <c r="A420" s="8"/>
      <c r="B420" s="9"/>
      <c r="C420" s="12"/>
      <c r="D420" s="12"/>
      <c r="E420" s="12"/>
      <c r="F420" s="12"/>
      <c r="G420" s="12"/>
      <c r="H420" s="12"/>
      <c r="I420" s="12"/>
      <c r="J420" s="12"/>
      <c r="K420" s="12"/>
      <c r="L420" s="12"/>
    </row>
    <row r="421" ht="14.25" customHeight="1">
      <c r="A421" s="8"/>
      <c r="B421" s="9"/>
      <c r="C421" s="12"/>
      <c r="D421" s="12"/>
      <c r="E421" s="12"/>
      <c r="F421" s="12"/>
      <c r="G421" s="12"/>
      <c r="H421" s="12"/>
      <c r="I421" s="12"/>
      <c r="J421" s="12"/>
      <c r="K421" s="12"/>
      <c r="L421" s="12"/>
    </row>
    <row r="422" ht="14.25" customHeight="1">
      <c r="A422" s="8"/>
      <c r="B422" s="9"/>
      <c r="C422" s="12"/>
      <c r="D422" s="12"/>
      <c r="E422" s="12"/>
      <c r="F422" s="12"/>
      <c r="G422" s="12"/>
      <c r="H422" s="12"/>
      <c r="I422" s="12"/>
      <c r="J422" s="12"/>
      <c r="K422" s="12"/>
      <c r="L422" s="12"/>
    </row>
    <row r="423" ht="14.25" customHeight="1">
      <c r="A423" s="8"/>
      <c r="B423" s="9"/>
      <c r="C423" s="12"/>
      <c r="D423" s="12"/>
      <c r="E423" s="12"/>
      <c r="F423" s="12"/>
      <c r="G423" s="12"/>
      <c r="H423" s="12"/>
      <c r="I423" s="12"/>
      <c r="J423" s="12"/>
      <c r="K423" s="12"/>
      <c r="L423" s="12"/>
    </row>
    <row r="424" ht="14.25" customHeight="1">
      <c r="A424" s="8"/>
      <c r="B424" s="9"/>
      <c r="C424" s="12"/>
      <c r="D424" s="12"/>
      <c r="E424" s="12"/>
      <c r="F424" s="12"/>
      <c r="G424" s="12"/>
      <c r="H424" s="12"/>
      <c r="I424" s="12"/>
      <c r="J424" s="12"/>
      <c r="K424" s="12"/>
      <c r="L424" s="12"/>
    </row>
    <row r="425" ht="14.25" customHeight="1">
      <c r="A425" s="8"/>
      <c r="B425" s="9"/>
      <c r="C425" s="12"/>
      <c r="D425" s="12"/>
      <c r="E425" s="12"/>
      <c r="F425" s="12"/>
      <c r="G425" s="12"/>
      <c r="H425" s="12"/>
      <c r="I425" s="12"/>
      <c r="J425" s="12"/>
      <c r="K425" s="12"/>
      <c r="L425" s="12"/>
    </row>
    <row r="426" ht="14.25" customHeight="1">
      <c r="A426" s="8"/>
      <c r="B426" s="9"/>
      <c r="C426" s="12"/>
      <c r="D426" s="12"/>
      <c r="E426" s="12"/>
      <c r="F426" s="12"/>
      <c r="G426" s="12"/>
      <c r="H426" s="12"/>
      <c r="I426" s="12"/>
      <c r="J426" s="12"/>
      <c r="K426" s="12"/>
      <c r="L426" s="12"/>
    </row>
    <row r="427" ht="14.25" customHeight="1">
      <c r="A427" s="8"/>
      <c r="B427" s="9"/>
      <c r="C427" s="12"/>
      <c r="D427" s="12"/>
      <c r="E427" s="12"/>
      <c r="F427" s="12"/>
      <c r="G427" s="12"/>
      <c r="H427" s="12"/>
      <c r="I427" s="12"/>
      <c r="J427" s="12"/>
      <c r="K427" s="12"/>
      <c r="L427" s="12"/>
    </row>
    <row r="428" ht="14.25" customHeight="1">
      <c r="A428" s="8"/>
      <c r="B428" s="9"/>
      <c r="C428" s="12"/>
      <c r="D428" s="12"/>
      <c r="E428" s="12"/>
      <c r="F428" s="12"/>
      <c r="G428" s="12"/>
      <c r="H428" s="12"/>
      <c r="I428" s="12"/>
      <c r="J428" s="12"/>
      <c r="K428" s="12"/>
      <c r="L428" s="12"/>
    </row>
    <row r="429" ht="14.25" customHeight="1">
      <c r="A429" s="8"/>
      <c r="B429" s="9"/>
      <c r="C429" s="12"/>
      <c r="D429" s="12"/>
      <c r="E429" s="12"/>
      <c r="F429" s="12"/>
      <c r="G429" s="12"/>
      <c r="H429" s="12"/>
      <c r="I429" s="12"/>
      <c r="J429" s="12"/>
      <c r="K429" s="12"/>
      <c r="L429" s="12"/>
    </row>
    <row r="430" ht="14.25" customHeight="1">
      <c r="A430" s="8"/>
      <c r="B430" s="9"/>
      <c r="C430" s="12"/>
      <c r="D430" s="12"/>
      <c r="E430" s="12"/>
      <c r="F430" s="12"/>
      <c r="G430" s="12"/>
      <c r="H430" s="12"/>
      <c r="I430" s="12"/>
      <c r="J430" s="12"/>
      <c r="K430" s="12"/>
      <c r="L430" s="12"/>
    </row>
    <row r="431" ht="14.25" customHeight="1">
      <c r="A431" s="8"/>
      <c r="B431" s="9"/>
      <c r="C431" s="12"/>
      <c r="D431" s="12"/>
      <c r="E431" s="12"/>
      <c r="F431" s="12"/>
      <c r="G431" s="12"/>
      <c r="H431" s="12"/>
      <c r="I431" s="12"/>
      <c r="J431" s="12"/>
      <c r="K431" s="12"/>
      <c r="L431" s="12"/>
    </row>
    <row r="432" ht="14.25" customHeight="1">
      <c r="A432" s="8"/>
      <c r="B432" s="9"/>
      <c r="C432" s="12"/>
      <c r="D432" s="12"/>
      <c r="E432" s="12"/>
      <c r="F432" s="12"/>
      <c r="G432" s="12"/>
      <c r="H432" s="12"/>
      <c r="I432" s="12"/>
      <c r="J432" s="12"/>
      <c r="K432" s="12"/>
      <c r="L432" s="12"/>
    </row>
    <row r="433" ht="14.25" customHeight="1">
      <c r="A433" s="8"/>
      <c r="B433" s="9"/>
      <c r="C433" s="12"/>
      <c r="D433" s="12"/>
      <c r="E433" s="12"/>
      <c r="F433" s="12"/>
      <c r="G433" s="12"/>
      <c r="H433" s="12"/>
      <c r="I433" s="12"/>
      <c r="J433" s="12"/>
      <c r="K433" s="12"/>
      <c r="L433" s="12"/>
    </row>
    <row r="434" ht="14.25" customHeight="1">
      <c r="A434" s="8"/>
      <c r="B434" s="9"/>
      <c r="C434" s="12"/>
      <c r="D434" s="12"/>
      <c r="E434" s="12"/>
      <c r="F434" s="12"/>
      <c r="G434" s="12"/>
      <c r="H434" s="12"/>
      <c r="I434" s="12"/>
      <c r="J434" s="12"/>
      <c r="K434" s="12"/>
      <c r="L434" s="12"/>
    </row>
    <row r="435" ht="14.25" customHeight="1">
      <c r="A435" s="8"/>
      <c r="B435" s="9"/>
      <c r="C435" s="12"/>
      <c r="D435" s="12"/>
      <c r="E435" s="12"/>
      <c r="F435" s="12"/>
      <c r="G435" s="12"/>
      <c r="H435" s="12"/>
      <c r="I435" s="12"/>
      <c r="J435" s="12"/>
      <c r="K435" s="12"/>
      <c r="L435" s="12"/>
    </row>
    <row r="436" ht="14.25" customHeight="1">
      <c r="A436" s="8"/>
      <c r="B436" s="9"/>
      <c r="C436" s="12"/>
      <c r="D436" s="12"/>
      <c r="E436" s="12"/>
      <c r="F436" s="12"/>
      <c r="G436" s="12"/>
      <c r="H436" s="12"/>
      <c r="I436" s="12"/>
      <c r="J436" s="12"/>
      <c r="K436" s="12"/>
      <c r="L436" s="12"/>
    </row>
    <row r="437" ht="14.2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</row>
    <row r="438" ht="14.2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</row>
    <row r="439" ht="14.2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</row>
    <row r="440" ht="14.2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</row>
    <row r="441" ht="14.2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</row>
    <row r="442" ht="14.2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</row>
    <row r="443" ht="14.2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</row>
    <row r="444" ht="14.2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</row>
    <row r="445" ht="14.2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</row>
    <row r="446" ht="14.2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</row>
    <row r="447" ht="14.2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</row>
    <row r="448" ht="14.2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</row>
    <row r="449" ht="14.2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</row>
    <row r="450" ht="14.2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</row>
    <row r="451" ht="14.2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</row>
    <row r="452" ht="14.2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</row>
    <row r="453" ht="14.2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</row>
    <row r="454" ht="14.2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</row>
    <row r="455" ht="14.2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</row>
    <row r="456" ht="14.2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</row>
    <row r="457" ht="14.2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</row>
    <row r="458" ht="14.2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</row>
    <row r="459" ht="14.2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</row>
    <row r="460" ht="14.2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</row>
    <row r="461" ht="14.2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</row>
    <row r="462" ht="14.2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</row>
    <row r="463" ht="14.2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</row>
    <row r="464" ht="14.2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</row>
    <row r="465" ht="14.2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</row>
    <row r="466" ht="14.2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</row>
    <row r="467" ht="14.2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</row>
    <row r="468" ht="14.2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</row>
    <row r="469" ht="14.2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</row>
    <row r="470" ht="14.2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</row>
    <row r="471" ht="14.2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</row>
    <row r="472" ht="14.2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</row>
    <row r="473" ht="14.2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</row>
    <row r="474" ht="14.2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</row>
    <row r="475" ht="14.2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</row>
    <row r="476" ht="14.2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</row>
    <row r="477" ht="14.2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</row>
    <row r="478" ht="14.2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</row>
    <row r="479" ht="14.2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</row>
    <row r="480" ht="14.2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</row>
    <row r="481" ht="14.2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</row>
    <row r="482" ht="14.2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</row>
    <row r="483" ht="14.2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</row>
    <row r="484" ht="14.2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</row>
    <row r="485" ht="14.2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</row>
    <row r="486" ht="14.2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</row>
    <row r="487" ht="14.2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</row>
    <row r="488" ht="14.2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</row>
    <row r="489" ht="14.2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</row>
    <row r="490" ht="14.2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</row>
    <row r="491" ht="14.2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</row>
    <row r="492" ht="14.2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</row>
    <row r="493" ht="14.2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</row>
    <row r="494" ht="14.2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</row>
    <row r="495" ht="14.2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</row>
    <row r="496" ht="14.2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</row>
    <row r="497" ht="14.2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</row>
    <row r="498" ht="14.2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</row>
    <row r="499" ht="14.2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</row>
    <row r="500" ht="14.2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</row>
    <row r="501" ht="14.2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</row>
    <row r="502" ht="14.2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</row>
    <row r="503" ht="14.2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</row>
    <row r="504" ht="14.2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</row>
    <row r="505" ht="14.2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</row>
    <row r="506" ht="14.2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</row>
    <row r="507" ht="14.2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</row>
    <row r="508" ht="14.2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</row>
    <row r="509" ht="14.2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</row>
    <row r="510" ht="14.2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</row>
    <row r="511" ht="14.2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</row>
    <row r="512" ht="14.2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</row>
    <row r="513" ht="14.2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</row>
    <row r="514" ht="14.2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</row>
    <row r="515" ht="14.2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</row>
    <row r="516" ht="14.2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</row>
    <row r="517" ht="14.2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</row>
    <row r="518" ht="14.2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</row>
    <row r="519" ht="14.2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</row>
    <row r="520" ht="14.2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</row>
    <row r="521" ht="14.2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</row>
    <row r="522" ht="14.2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</row>
    <row r="523" ht="14.2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</row>
    <row r="524" ht="14.2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</row>
    <row r="525" ht="14.2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</row>
    <row r="526" ht="14.2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</row>
    <row r="527" ht="14.2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</row>
    <row r="528" ht="14.2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</row>
    <row r="529" ht="14.2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</row>
    <row r="530" ht="14.2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</row>
    <row r="531" ht="14.2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</row>
    <row r="532" ht="14.2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</row>
    <row r="533" ht="14.2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</row>
    <row r="534" ht="14.2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</row>
    <row r="535" ht="14.2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</row>
    <row r="536" ht="14.2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</row>
    <row r="537" ht="14.2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</row>
    <row r="538" ht="14.2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</row>
    <row r="539" ht="14.2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</row>
    <row r="540" ht="14.2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</row>
    <row r="541" ht="14.2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</row>
    <row r="542" ht="14.2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</row>
    <row r="543" ht="14.2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</row>
    <row r="544" ht="14.2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</row>
    <row r="545" ht="14.2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</row>
    <row r="546" ht="14.2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</row>
    <row r="547" ht="14.2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</row>
    <row r="548" ht="14.2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</row>
    <row r="549" ht="14.2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</row>
    <row r="550" ht="14.2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</row>
    <row r="551" ht="14.2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</row>
    <row r="552" ht="14.2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</row>
    <row r="553" ht="14.2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</row>
    <row r="554" ht="14.2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</row>
    <row r="555" ht="14.2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</row>
    <row r="556" ht="14.2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</row>
    <row r="557" ht="14.2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</row>
    <row r="558" ht="14.2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</row>
    <row r="559" ht="14.2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</row>
    <row r="560" ht="14.2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</row>
    <row r="561" ht="14.2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</row>
    <row r="562" ht="14.2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</row>
    <row r="563" ht="14.2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</row>
    <row r="564" ht="14.2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</row>
    <row r="565" ht="14.2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</row>
    <row r="566" ht="14.2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</row>
    <row r="567" ht="14.2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</row>
    <row r="568" ht="14.2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</row>
    <row r="569" ht="14.2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</row>
    <row r="570" ht="14.2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</row>
    <row r="571" ht="14.2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</row>
    <row r="572" ht="14.2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</row>
    <row r="573" ht="14.2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</row>
    <row r="574" ht="14.2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</row>
    <row r="575" ht="14.2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</row>
    <row r="576" ht="14.2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</row>
    <row r="577" ht="14.2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</row>
    <row r="578" ht="14.2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</row>
    <row r="579" ht="14.2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</row>
    <row r="580" ht="14.2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</row>
    <row r="581" ht="14.2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</row>
    <row r="582" ht="14.2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</row>
    <row r="583" ht="14.2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</row>
    <row r="584" ht="14.2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</row>
    <row r="585" ht="14.2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</row>
    <row r="586" ht="14.2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</row>
    <row r="587" ht="14.2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</row>
    <row r="588" ht="14.2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</row>
    <row r="589" ht="14.2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</row>
    <row r="590" ht="14.2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</row>
    <row r="591" ht="14.2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</row>
    <row r="592" ht="14.2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</row>
    <row r="593" ht="14.2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</row>
    <row r="594" ht="14.2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</row>
    <row r="595" ht="14.2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</row>
    <row r="596" ht="14.2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</row>
    <row r="597" ht="14.2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</row>
    <row r="598" ht="14.2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</row>
    <row r="599" ht="14.2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</row>
    <row r="600" ht="14.2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</row>
    <row r="601" ht="14.2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</row>
    <row r="602" ht="14.2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</row>
    <row r="603" ht="14.2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</row>
    <row r="604" ht="14.2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</row>
    <row r="605" ht="14.2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</row>
    <row r="606" ht="14.2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</row>
    <row r="607" ht="14.2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</row>
    <row r="608" ht="14.2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</row>
    <row r="609" ht="14.2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</row>
    <row r="610" ht="14.2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</row>
    <row r="611" ht="14.2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</row>
    <row r="612" ht="14.2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</row>
    <row r="613" ht="14.2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</row>
    <row r="614" ht="14.2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</row>
    <row r="615" ht="14.2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</row>
    <row r="616" ht="14.2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</row>
    <row r="617" ht="14.2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</row>
    <row r="618" ht="14.2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</row>
    <row r="619" ht="14.2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</row>
    <row r="620" ht="14.2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</row>
    <row r="621" ht="14.2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</row>
    <row r="622" ht="14.2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</row>
    <row r="623" ht="14.2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</row>
    <row r="624" ht="14.2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</row>
    <row r="625" ht="14.2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</row>
    <row r="626" ht="14.2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</row>
    <row r="627" ht="14.2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</row>
    <row r="628" ht="14.2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</row>
    <row r="629" ht="14.2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</row>
    <row r="630" ht="14.2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</row>
    <row r="631" ht="14.2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</row>
    <row r="632" ht="14.2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</row>
    <row r="633" ht="14.2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</row>
    <row r="634" ht="14.2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</row>
    <row r="635" ht="14.2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</row>
    <row r="636" ht="14.2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</row>
    <row r="637" ht="14.2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</row>
    <row r="638" ht="14.2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</row>
    <row r="639" ht="14.2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</row>
    <row r="640" ht="14.2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</row>
    <row r="641" ht="14.2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</row>
    <row r="642" ht="14.2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</row>
    <row r="643" ht="14.2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</row>
    <row r="644" ht="14.2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</row>
    <row r="645" ht="14.2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</row>
    <row r="646" ht="14.2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</row>
    <row r="647" ht="14.2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</row>
    <row r="648" ht="14.2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</row>
    <row r="649" ht="14.2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</row>
    <row r="650" ht="14.2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</row>
    <row r="651" ht="14.2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</row>
    <row r="652" ht="14.2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</row>
    <row r="653" ht="14.2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</row>
    <row r="654" ht="14.2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</row>
    <row r="655" ht="14.2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</row>
    <row r="656" ht="14.2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</row>
    <row r="657" ht="14.2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</row>
    <row r="658" ht="14.2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</row>
    <row r="659" ht="14.2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</row>
    <row r="660" ht="14.2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</row>
    <row r="661" ht="14.2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</row>
    <row r="662" ht="14.2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</row>
    <row r="663" ht="14.2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</row>
    <row r="664" ht="14.2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</row>
    <row r="665" ht="14.2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</row>
    <row r="666" ht="14.2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</row>
    <row r="667" ht="14.2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</row>
    <row r="668" ht="14.2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</row>
    <row r="669" ht="14.2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</row>
    <row r="670" ht="14.2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</row>
    <row r="671" ht="14.2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</row>
    <row r="672" ht="14.2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</row>
    <row r="673" ht="14.2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</row>
    <row r="674" ht="14.2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</row>
    <row r="675" ht="14.2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</row>
    <row r="676" ht="14.2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</row>
    <row r="677" ht="14.2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</row>
    <row r="678" ht="14.2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</row>
    <row r="679" ht="14.2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</row>
    <row r="680" ht="14.2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</row>
    <row r="681" ht="14.2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</row>
    <row r="682" ht="14.2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</row>
    <row r="683" ht="14.2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</row>
    <row r="684" ht="14.2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</row>
    <row r="685" ht="14.2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</row>
    <row r="686" ht="14.2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</row>
    <row r="687" ht="14.2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</row>
    <row r="688" ht="14.2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</row>
    <row r="689" ht="14.2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</row>
    <row r="690" ht="14.2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</row>
    <row r="691" ht="14.2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</row>
    <row r="692" ht="14.2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</row>
    <row r="693" ht="14.2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</row>
    <row r="694" ht="14.2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</row>
    <row r="695" ht="14.2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</row>
    <row r="696" ht="14.2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</row>
    <row r="697" ht="14.2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</row>
    <row r="698" ht="14.2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</row>
    <row r="699" ht="14.2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</row>
    <row r="700" ht="14.2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</row>
    <row r="701" ht="14.2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</row>
    <row r="702" ht="14.2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</row>
    <row r="703" ht="14.2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</row>
    <row r="704" ht="14.2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</row>
    <row r="705" ht="14.2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</row>
    <row r="706" ht="14.2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</row>
    <row r="707" ht="14.2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</row>
    <row r="708" ht="14.2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</row>
    <row r="709" ht="14.2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</row>
    <row r="710" ht="14.2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</row>
    <row r="711" ht="14.2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</row>
    <row r="712" ht="14.2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</row>
    <row r="713" ht="14.2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</row>
    <row r="714" ht="14.2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</row>
    <row r="715" ht="14.2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</row>
    <row r="716" ht="14.2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</row>
    <row r="717" ht="14.2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</row>
    <row r="718" ht="14.2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</row>
    <row r="719" ht="14.2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</row>
    <row r="720" ht="14.2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</row>
    <row r="721" ht="14.2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</row>
    <row r="722" ht="14.2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</row>
    <row r="723" ht="14.2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</row>
    <row r="724" ht="14.2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</row>
    <row r="725" ht="14.2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</row>
    <row r="726" ht="14.2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</row>
    <row r="727" ht="14.2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</row>
    <row r="728" ht="14.2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</row>
    <row r="729" ht="14.2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</row>
    <row r="730" ht="14.2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</row>
    <row r="731" ht="14.2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</row>
    <row r="732" ht="14.2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</row>
    <row r="733" ht="14.2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</row>
    <row r="734" ht="14.2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</row>
    <row r="735" ht="14.2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</row>
    <row r="736" ht="14.2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</row>
    <row r="737" ht="14.2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</row>
    <row r="738" ht="14.2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</row>
    <row r="739" ht="14.2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</row>
    <row r="740" ht="14.2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</row>
    <row r="741" ht="14.2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</row>
    <row r="742" ht="14.2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</row>
    <row r="743" ht="14.2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</row>
    <row r="744" ht="14.2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</row>
    <row r="745" ht="14.2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</row>
    <row r="746" ht="14.2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</row>
    <row r="747" ht="14.2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</row>
    <row r="748" ht="14.2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</row>
    <row r="749" ht="14.2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</row>
    <row r="750" ht="14.2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</row>
    <row r="751" ht="14.2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</row>
    <row r="752" ht="14.2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</row>
    <row r="753" ht="14.2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</row>
    <row r="754" ht="14.2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</row>
    <row r="755" ht="14.2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</row>
    <row r="756" ht="14.2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</row>
    <row r="757" ht="14.2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</row>
    <row r="758" ht="14.2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</row>
    <row r="759" ht="14.2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</row>
    <row r="760" ht="14.2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</row>
    <row r="761" ht="14.2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</row>
    <row r="762" ht="14.2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</row>
    <row r="763" ht="14.2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</row>
    <row r="764" ht="14.2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</row>
    <row r="765" ht="14.2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</row>
    <row r="766" ht="14.2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</row>
    <row r="767" ht="14.2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</row>
    <row r="768" ht="14.2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</row>
    <row r="769" ht="14.2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</row>
    <row r="770" ht="14.2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</row>
    <row r="771" ht="14.2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</row>
    <row r="772" ht="14.2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</row>
    <row r="773" ht="14.2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</row>
    <row r="774" ht="14.2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</row>
    <row r="775" ht="14.2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</row>
    <row r="776" ht="14.2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</row>
    <row r="777" ht="14.2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</row>
    <row r="778" ht="14.2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</row>
    <row r="779" ht="14.2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</row>
    <row r="780" ht="14.2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</row>
    <row r="781" ht="14.2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</row>
    <row r="782" ht="14.2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</row>
    <row r="783" ht="14.2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</row>
    <row r="784" ht="14.2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</row>
    <row r="785" ht="14.2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</row>
    <row r="786" ht="14.2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</row>
    <row r="787" ht="14.2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</row>
    <row r="788" ht="14.2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</row>
    <row r="789" ht="14.2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</row>
    <row r="790" ht="14.2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</row>
    <row r="791" ht="14.2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</row>
    <row r="792" ht="14.2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</row>
    <row r="793" ht="14.2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</row>
    <row r="794" ht="14.2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</row>
    <row r="795" ht="14.2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</row>
    <row r="796" ht="14.2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</row>
    <row r="797" ht="14.2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</row>
    <row r="798" ht="14.2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</row>
    <row r="799" ht="14.2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</row>
    <row r="800" ht="14.2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</row>
    <row r="801" ht="14.2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</row>
    <row r="802" ht="14.2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</row>
    <row r="803" ht="14.2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</row>
    <row r="804" ht="14.2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</row>
    <row r="805" ht="14.2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</row>
    <row r="806" ht="14.2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</row>
    <row r="807" ht="14.2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</row>
    <row r="808" ht="14.2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</row>
    <row r="809" ht="14.2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</row>
    <row r="810" ht="14.2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</row>
    <row r="811" ht="14.2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</row>
    <row r="812" ht="14.2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</row>
    <row r="813" ht="14.2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</row>
    <row r="814" ht="14.2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</row>
    <row r="815" ht="14.2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</row>
    <row r="816" ht="14.2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</row>
    <row r="817" ht="14.2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</row>
    <row r="818" ht="14.2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</row>
    <row r="819" ht="14.2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</row>
    <row r="820" ht="14.2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</row>
    <row r="821" ht="14.2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</row>
    <row r="822" ht="14.2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</row>
    <row r="823" ht="14.2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</row>
    <row r="824" ht="14.2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</row>
    <row r="825" ht="14.2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</row>
    <row r="826" ht="14.2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</row>
    <row r="827" ht="14.2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</row>
    <row r="828" ht="14.2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</row>
    <row r="829" ht="14.2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</row>
    <row r="830" ht="14.2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</row>
    <row r="831" ht="14.2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</row>
    <row r="832" ht="14.2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</row>
    <row r="833" ht="14.2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</row>
    <row r="834" ht="14.2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</row>
    <row r="835" ht="14.2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</row>
    <row r="836" ht="14.2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</row>
    <row r="837" ht="14.2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</row>
    <row r="838" ht="14.2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</row>
    <row r="839" ht="14.2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</row>
    <row r="840" ht="14.2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</row>
    <row r="841" ht="14.2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</row>
    <row r="842" ht="14.2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</row>
    <row r="843" ht="14.2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</row>
    <row r="844" ht="14.2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</row>
    <row r="845" ht="14.2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</row>
    <row r="846" ht="14.2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</row>
    <row r="847" ht="14.2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</row>
    <row r="848" ht="14.2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</row>
    <row r="849" ht="14.2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</row>
    <row r="850" ht="14.2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</row>
    <row r="851" ht="14.2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</row>
    <row r="852" ht="14.2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</row>
    <row r="853" ht="14.2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</row>
    <row r="854" ht="14.2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</row>
    <row r="855" ht="14.2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</row>
    <row r="856" ht="14.2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</row>
    <row r="857" ht="14.2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</row>
    <row r="858" ht="14.2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</row>
    <row r="859" ht="14.2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</row>
    <row r="860" ht="14.2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</row>
    <row r="861" ht="14.2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</row>
    <row r="862" ht="14.2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</row>
    <row r="863" ht="14.2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</row>
    <row r="864" ht="14.2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</row>
    <row r="865" ht="14.2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</row>
    <row r="866" ht="14.2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</row>
    <row r="867" ht="14.2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</row>
    <row r="868" ht="14.2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</row>
    <row r="869" ht="14.2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</row>
    <row r="870" ht="14.2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</row>
    <row r="871" ht="14.2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</row>
    <row r="872" ht="14.2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</row>
    <row r="873" ht="14.2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</row>
    <row r="874" ht="14.2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</row>
    <row r="875" ht="14.2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</row>
    <row r="876" ht="14.2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</row>
    <row r="877" ht="14.2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</row>
    <row r="878" ht="14.2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</row>
    <row r="879" ht="14.2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</row>
    <row r="880" ht="14.2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</row>
    <row r="881" ht="14.2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</row>
    <row r="882" ht="14.2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</row>
    <row r="883" ht="14.2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</row>
    <row r="884" ht="14.2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</row>
    <row r="885" ht="14.2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</row>
    <row r="886" ht="14.2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</row>
    <row r="887" ht="14.2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</row>
    <row r="888" ht="14.2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</row>
    <row r="889" ht="14.2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</row>
    <row r="890" ht="14.2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</row>
    <row r="891" ht="14.2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</row>
    <row r="892" ht="14.2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</row>
    <row r="893" ht="14.2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</row>
    <row r="894" ht="14.2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</row>
    <row r="895" ht="14.2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</row>
    <row r="896" ht="14.2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</row>
    <row r="897" ht="14.2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</row>
    <row r="898" ht="14.2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</row>
    <row r="899" ht="14.2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</row>
    <row r="900" ht="14.2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</row>
    <row r="901" ht="14.2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</row>
    <row r="902" ht="14.2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</row>
    <row r="903" ht="14.2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</row>
    <row r="904" ht="14.2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</row>
    <row r="905" ht="14.2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</row>
    <row r="906" ht="14.2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</row>
    <row r="907" ht="14.2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</row>
    <row r="908" ht="14.2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</row>
    <row r="909" ht="14.2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</row>
    <row r="910" ht="14.2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</row>
    <row r="911" ht="14.2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</row>
    <row r="912" ht="14.2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</row>
    <row r="913" ht="14.2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</row>
    <row r="914" ht="14.2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</row>
    <row r="915" ht="14.2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</row>
    <row r="916" ht="14.2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</row>
    <row r="917" ht="14.2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</row>
    <row r="918" ht="14.2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</row>
    <row r="919" ht="14.2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</row>
    <row r="920" ht="14.2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</row>
    <row r="921" ht="14.2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</row>
    <row r="922" ht="14.2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</row>
    <row r="923" ht="14.2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</row>
    <row r="924" ht="14.2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</row>
    <row r="925" ht="14.2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</row>
    <row r="926" ht="14.2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</row>
    <row r="927" ht="14.2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</row>
    <row r="928" ht="14.2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</row>
    <row r="929" ht="14.2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</row>
    <row r="930" ht="14.2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</row>
    <row r="931" ht="14.2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</row>
    <row r="932" ht="14.2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</row>
    <row r="933" ht="14.2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</row>
    <row r="934" ht="14.2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</row>
    <row r="935" ht="14.2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</row>
    <row r="936" ht="14.2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</row>
    <row r="937" ht="14.2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</row>
    <row r="938" ht="14.2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</row>
    <row r="939" ht="14.2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</row>
    <row r="940" ht="14.2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</row>
    <row r="941" ht="14.2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</row>
    <row r="942" ht="14.2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</row>
    <row r="943" ht="14.2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</row>
    <row r="944" ht="14.2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</row>
    <row r="945" ht="14.2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</row>
    <row r="946" ht="14.2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</row>
    <row r="947" ht="14.2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</row>
    <row r="948" ht="14.2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</row>
    <row r="949" ht="14.2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</row>
    <row r="950" ht="14.2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</row>
    <row r="951" ht="14.2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</row>
    <row r="952" ht="14.2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</row>
    <row r="953" ht="14.2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</row>
    <row r="954" ht="14.2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</row>
    <row r="955" ht="14.2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</row>
    <row r="956" ht="14.2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</row>
    <row r="957" ht="14.2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</row>
    <row r="958" ht="14.2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</row>
    <row r="959" ht="14.2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</row>
    <row r="960" ht="14.2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</row>
    <row r="961" ht="14.2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</row>
    <row r="962" ht="14.2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</row>
    <row r="963" ht="14.2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</row>
    <row r="964" ht="14.2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</row>
    <row r="965" ht="14.2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</row>
    <row r="966" ht="14.2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</row>
    <row r="967" ht="14.2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</row>
    <row r="968" ht="14.2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</row>
    <row r="969" ht="14.2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</row>
    <row r="970" ht="14.2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</row>
    <row r="971" ht="14.2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</row>
    <row r="972" ht="14.2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</row>
    <row r="973" ht="14.2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</row>
    <row r="974" ht="14.2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</row>
    <row r="975" ht="14.2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</row>
    <row r="976" ht="14.2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</row>
    <row r="977" ht="14.2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</row>
    <row r="978" ht="14.2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</row>
    <row r="979" ht="14.2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</row>
    <row r="980" ht="14.2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</row>
    <row r="981" ht="14.2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</row>
    <row r="982" ht="14.2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</row>
    <row r="983" ht="14.2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</row>
    <row r="984" ht="14.2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</row>
    <row r="985" ht="14.2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</row>
    <row r="986" ht="14.2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</row>
    <row r="987" ht="14.2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</row>
    <row r="988" ht="14.2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</row>
    <row r="989" ht="14.2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</row>
    <row r="990" ht="14.2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</row>
    <row r="991" ht="14.2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</row>
    <row r="992" ht="14.2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</row>
    <row r="993" ht="14.2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</row>
    <row r="994" ht="14.2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</row>
    <row r="995" ht="14.2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</row>
    <row r="996" ht="14.2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</row>
    <row r="997" ht="14.2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</row>
    <row r="998" ht="14.2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</row>
    <row r="999" ht="14.2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</row>
    <row r="1000" ht="14.2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</row>
  </sheetData>
  <mergeCells count="1">
    <mergeCell ref="C1:L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5.0"/>
    <col customWidth="1" min="2" max="2" width="6.5"/>
    <col customWidth="1" min="3" max="11" width="7.5"/>
    <col customWidth="1" min="12" max="26" width="8.63"/>
  </cols>
  <sheetData>
    <row r="1" ht="14.25" customHeight="1">
      <c r="A1" s="14"/>
      <c r="B1" s="14"/>
      <c r="C1" s="15" t="s">
        <v>470</v>
      </c>
      <c r="D1" s="3"/>
      <c r="E1" s="3"/>
      <c r="F1" s="3"/>
      <c r="G1" s="3"/>
      <c r="H1" s="3"/>
      <c r="I1" s="3"/>
      <c r="J1" s="3"/>
      <c r="K1" s="4"/>
    </row>
    <row r="2" ht="14.25" customHeight="1">
      <c r="A2" s="16" t="s">
        <v>1</v>
      </c>
      <c r="B2" s="16" t="s">
        <v>2</v>
      </c>
      <c r="C2" s="17">
        <v>2013.0</v>
      </c>
      <c r="D2" s="17">
        <v>2014.0</v>
      </c>
      <c r="E2" s="17">
        <v>2015.0</v>
      </c>
      <c r="F2" s="17">
        <v>2016.0</v>
      </c>
      <c r="G2" s="17">
        <v>2017.0</v>
      </c>
      <c r="H2" s="17">
        <v>2018.0</v>
      </c>
      <c r="I2" s="17">
        <v>2019.0</v>
      </c>
      <c r="J2" s="17">
        <v>2020.0</v>
      </c>
      <c r="K2" s="17">
        <v>2021.0</v>
      </c>
    </row>
    <row r="3" ht="14.25" customHeight="1">
      <c r="A3" s="18" t="s">
        <v>3</v>
      </c>
      <c r="B3" s="18" t="s">
        <v>4</v>
      </c>
      <c r="C3" s="18">
        <v>20.8</v>
      </c>
      <c r="D3" s="18">
        <v>20.7</v>
      </c>
      <c r="E3" s="18">
        <v>21.3</v>
      </c>
      <c r="F3" s="18">
        <v>21.8</v>
      </c>
      <c r="G3" s="18">
        <v>22.7</v>
      </c>
      <c r="H3" s="18">
        <v>24.0</v>
      </c>
      <c r="I3" s="18">
        <v>26.9</v>
      </c>
      <c r="J3" s="18">
        <v>28.8</v>
      </c>
      <c r="K3" s="18">
        <v>30.1</v>
      </c>
    </row>
    <row r="4" ht="14.25" customHeight="1">
      <c r="A4" s="18" t="s">
        <v>5</v>
      </c>
      <c r="B4" s="18" t="s">
        <v>6</v>
      </c>
      <c r="C4" s="18">
        <v>4.4</v>
      </c>
      <c r="D4" s="18">
        <v>4.4</v>
      </c>
      <c r="E4" s="18">
        <v>4.3</v>
      </c>
      <c r="F4" s="18">
        <v>4.2</v>
      </c>
      <c r="G4" s="18">
        <v>4.2</v>
      </c>
      <c r="H4" s="18">
        <v>4.1</v>
      </c>
      <c r="I4" s="18">
        <v>4.1</v>
      </c>
      <c r="J4" s="18">
        <v>4.1</v>
      </c>
      <c r="K4" s="18">
        <v>4.1</v>
      </c>
    </row>
    <row r="5" ht="14.25" customHeight="1">
      <c r="A5" s="18" t="s">
        <v>7</v>
      </c>
      <c r="B5" s="18" t="s">
        <v>8</v>
      </c>
      <c r="C5" s="18">
        <v>2.9</v>
      </c>
      <c r="D5" s="18">
        <v>2.7</v>
      </c>
      <c r="E5" s="18">
        <v>2.6</v>
      </c>
      <c r="F5" s="18">
        <v>2.6</v>
      </c>
      <c r="G5" s="18">
        <v>2.6</v>
      </c>
      <c r="H5" s="18">
        <v>2.5</v>
      </c>
      <c r="I5" s="18">
        <v>2.5</v>
      </c>
      <c r="J5" s="18">
        <v>2.5</v>
      </c>
      <c r="K5" s="18">
        <v>2.5</v>
      </c>
    </row>
    <row r="6" ht="14.25" customHeight="1">
      <c r="A6" s="18" t="s">
        <v>9</v>
      </c>
      <c r="B6" s="18" t="s">
        <v>10</v>
      </c>
      <c r="C6" s="18"/>
      <c r="D6" s="18"/>
      <c r="E6" s="18"/>
      <c r="F6" s="18"/>
      <c r="G6" s="18"/>
      <c r="H6" s="18"/>
      <c r="I6" s="18"/>
      <c r="J6" s="18"/>
      <c r="K6" s="18"/>
    </row>
    <row r="7" ht="14.25" customHeight="1">
      <c r="A7" s="18" t="s">
        <v>11</v>
      </c>
      <c r="B7" s="18" t="s">
        <v>12</v>
      </c>
      <c r="C7" s="18"/>
      <c r="D7" s="18"/>
      <c r="E7" s="18"/>
      <c r="F7" s="18"/>
      <c r="G7" s="18"/>
      <c r="H7" s="18"/>
      <c r="I7" s="18"/>
      <c r="J7" s="18"/>
      <c r="K7" s="18"/>
    </row>
    <row r="8" ht="14.25" customHeight="1">
      <c r="A8" s="18" t="s">
        <v>13</v>
      </c>
      <c r="B8" s="18" t="s">
        <v>14</v>
      </c>
      <c r="C8" s="18">
        <v>12.7</v>
      </c>
      <c r="D8" s="18">
        <v>12.5</v>
      </c>
      <c r="E8" s="18">
        <v>13.5</v>
      </c>
      <c r="F8" s="18">
        <v>14.4</v>
      </c>
      <c r="G8" s="18">
        <v>14.7</v>
      </c>
      <c r="H8" s="18">
        <v>15.2</v>
      </c>
      <c r="I8" s="18">
        <v>17.5</v>
      </c>
      <c r="J8" s="18">
        <v>20.1</v>
      </c>
      <c r="K8" s="18">
        <v>21.6</v>
      </c>
    </row>
    <row r="9" ht="14.25" customHeight="1">
      <c r="A9" s="18" t="s">
        <v>15</v>
      </c>
      <c r="B9" s="18" t="s">
        <v>16</v>
      </c>
      <c r="C9" s="18"/>
      <c r="D9" s="18"/>
      <c r="E9" s="18"/>
      <c r="F9" s="18"/>
      <c r="G9" s="18"/>
      <c r="H9" s="18"/>
      <c r="I9" s="18"/>
      <c r="J9" s="18"/>
      <c r="K9" s="18"/>
    </row>
    <row r="10" ht="14.25" customHeight="1">
      <c r="A10" s="18" t="s">
        <v>17</v>
      </c>
      <c r="B10" s="18" t="s">
        <v>18</v>
      </c>
      <c r="C10" s="18"/>
      <c r="D10" s="18"/>
      <c r="E10" s="18"/>
      <c r="F10" s="18"/>
      <c r="G10" s="18"/>
      <c r="H10" s="18"/>
      <c r="I10" s="18"/>
      <c r="J10" s="18"/>
      <c r="K10" s="18"/>
    </row>
    <row r="11" ht="14.25" customHeight="1">
      <c r="A11" s="18" t="s">
        <v>19</v>
      </c>
      <c r="B11" s="18" t="s">
        <v>20</v>
      </c>
      <c r="C11" s="18">
        <v>3.0</v>
      </c>
      <c r="D11" s="18">
        <v>2.7</v>
      </c>
      <c r="E11" s="18">
        <v>2.7</v>
      </c>
      <c r="F11" s="18">
        <v>2.9</v>
      </c>
      <c r="G11" s="18">
        <v>3.3</v>
      </c>
      <c r="H11" s="18">
        <v>3.4</v>
      </c>
      <c r="I11" s="18">
        <v>3.4</v>
      </c>
      <c r="J11" s="18">
        <v>3.3</v>
      </c>
      <c r="K11" s="18">
        <v>3.2</v>
      </c>
    </row>
    <row r="12" ht="14.25" customHeight="1">
      <c r="A12" s="18" t="s">
        <v>21</v>
      </c>
      <c r="B12" s="18" t="s">
        <v>22</v>
      </c>
      <c r="C12" s="18">
        <v>2.5</v>
      </c>
      <c r="D12" s="18">
        <v>2.5</v>
      </c>
      <c r="E12" s="18">
        <v>2.5</v>
      </c>
      <c r="F12" s="18">
        <v>2.5</v>
      </c>
      <c r="G12" s="18">
        <v>2.5</v>
      </c>
      <c r="H12" s="18">
        <v>2.5</v>
      </c>
      <c r="I12" s="18">
        <v>2.5</v>
      </c>
      <c r="J12" s="18">
        <v>2.5</v>
      </c>
      <c r="K12" s="18">
        <v>2.5</v>
      </c>
    </row>
    <row r="13" ht="14.25" customHeight="1">
      <c r="A13" s="18" t="s">
        <v>23</v>
      </c>
      <c r="B13" s="18" t="s">
        <v>24</v>
      </c>
      <c r="C13" s="18"/>
      <c r="D13" s="18"/>
      <c r="E13" s="18"/>
      <c r="F13" s="18"/>
      <c r="G13" s="18"/>
      <c r="H13" s="18"/>
      <c r="I13" s="18"/>
      <c r="J13" s="18"/>
      <c r="K13" s="18"/>
    </row>
    <row r="14" ht="14.25" customHeight="1">
      <c r="A14" s="18" t="s">
        <v>25</v>
      </c>
      <c r="B14" s="18" t="s">
        <v>26</v>
      </c>
      <c r="C14" s="18">
        <v>2.5</v>
      </c>
      <c r="D14" s="18">
        <v>2.5</v>
      </c>
      <c r="E14" s="18">
        <v>2.5</v>
      </c>
      <c r="F14" s="18">
        <v>2.5</v>
      </c>
      <c r="G14" s="18">
        <v>2.5</v>
      </c>
      <c r="H14" s="18">
        <v>2.5</v>
      </c>
      <c r="I14" s="18">
        <v>2.5</v>
      </c>
      <c r="J14" s="18">
        <v>2.5</v>
      </c>
      <c r="K14" s="18">
        <v>2.5</v>
      </c>
    </row>
    <row r="15" ht="14.25" customHeight="1">
      <c r="A15" s="18" t="s">
        <v>27</v>
      </c>
      <c r="B15" s="18" t="s">
        <v>28</v>
      </c>
      <c r="C15" s="18">
        <v>2.5</v>
      </c>
      <c r="D15" s="18">
        <v>2.5</v>
      </c>
      <c r="E15" s="18">
        <v>2.5</v>
      </c>
      <c r="F15" s="18">
        <v>2.5</v>
      </c>
      <c r="G15" s="18">
        <v>2.5</v>
      </c>
      <c r="H15" s="18">
        <v>2.5</v>
      </c>
      <c r="I15" s="18">
        <v>2.5</v>
      </c>
      <c r="J15" s="18">
        <v>2.5</v>
      </c>
      <c r="K15" s="18">
        <v>2.5</v>
      </c>
    </row>
    <row r="16" ht="14.25" customHeight="1">
      <c r="A16" s="18" t="s">
        <v>29</v>
      </c>
      <c r="B16" s="18" t="s">
        <v>30</v>
      </c>
      <c r="C16" s="18">
        <v>2.5</v>
      </c>
      <c r="D16" s="18">
        <v>2.5</v>
      </c>
      <c r="E16" s="18">
        <v>2.5</v>
      </c>
      <c r="F16" s="18">
        <v>2.5</v>
      </c>
      <c r="G16" s="18">
        <v>2.5</v>
      </c>
      <c r="H16" s="18">
        <v>2.5</v>
      </c>
      <c r="I16" s="18">
        <v>2.5</v>
      </c>
      <c r="J16" s="18">
        <v>2.5</v>
      </c>
      <c r="K16" s="18">
        <v>2.5</v>
      </c>
    </row>
    <row r="17" ht="14.25" customHeight="1">
      <c r="A17" s="18" t="s">
        <v>31</v>
      </c>
      <c r="B17" s="18" t="s">
        <v>32</v>
      </c>
      <c r="C17" s="18"/>
      <c r="D17" s="18"/>
      <c r="E17" s="18"/>
      <c r="F17" s="18"/>
      <c r="G17" s="18"/>
      <c r="H17" s="18"/>
      <c r="I17" s="18"/>
      <c r="J17" s="18"/>
      <c r="K17" s="18"/>
    </row>
    <row r="18" ht="14.25" customHeight="1">
      <c r="A18" s="18" t="s">
        <v>33</v>
      </c>
      <c r="B18" s="18" t="s">
        <v>34</v>
      </c>
      <c r="C18" s="18"/>
      <c r="D18" s="18"/>
      <c r="E18" s="18"/>
      <c r="F18" s="18"/>
      <c r="G18" s="18"/>
      <c r="H18" s="18"/>
      <c r="I18" s="18"/>
      <c r="J18" s="18"/>
      <c r="K18" s="18"/>
    </row>
    <row r="19" ht="14.25" customHeight="1">
      <c r="A19" s="18" t="s">
        <v>35</v>
      </c>
      <c r="B19" s="18" t="s">
        <v>36</v>
      </c>
      <c r="C19" s="18">
        <v>15.6</v>
      </c>
      <c r="D19" s="18">
        <v>14.8</v>
      </c>
      <c r="E19" s="18">
        <v>14.8</v>
      </c>
      <c r="F19" s="18">
        <v>14.3</v>
      </c>
      <c r="G19" s="18">
        <v>13.6</v>
      </c>
      <c r="H19" s="18">
        <v>12.7</v>
      </c>
      <c r="I19" s="18">
        <v>11.8</v>
      </c>
      <c r="J19" s="18">
        <v>11.7</v>
      </c>
      <c r="K19" s="18">
        <v>11.2</v>
      </c>
    </row>
    <row r="20" ht="14.25" customHeight="1">
      <c r="A20" s="18" t="s">
        <v>37</v>
      </c>
      <c r="B20" s="18" t="s">
        <v>38</v>
      </c>
      <c r="C20" s="18">
        <v>2.5</v>
      </c>
      <c r="D20" s="18">
        <v>2.5</v>
      </c>
      <c r="E20" s="18">
        <v>2.5</v>
      </c>
      <c r="F20" s="18">
        <v>2.6</v>
      </c>
      <c r="G20" s="18">
        <v>2.6</v>
      </c>
      <c r="H20" s="18">
        <v>2.5</v>
      </c>
      <c r="I20" s="18">
        <v>2.5</v>
      </c>
      <c r="J20" s="18">
        <v>2.5</v>
      </c>
      <c r="K20" s="18">
        <v>2.5</v>
      </c>
    </row>
    <row r="21" ht="14.25" customHeight="1">
      <c r="A21" s="18" t="s">
        <v>39</v>
      </c>
      <c r="B21" s="18" t="s">
        <v>40</v>
      </c>
      <c r="C21" s="18">
        <v>2.5</v>
      </c>
      <c r="D21" s="18">
        <v>2.5</v>
      </c>
      <c r="E21" s="18">
        <v>2.5</v>
      </c>
      <c r="F21" s="18">
        <v>2.5</v>
      </c>
      <c r="G21" s="18">
        <v>2.5</v>
      </c>
      <c r="H21" s="18">
        <v>2.5</v>
      </c>
      <c r="I21" s="18">
        <v>2.5</v>
      </c>
      <c r="J21" s="18">
        <v>2.5</v>
      </c>
      <c r="K21" s="18">
        <v>2.5</v>
      </c>
    </row>
    <row r="22" ht="14.25" customHeight="1">
      <c r="A22" s="18" t="s">
        <v>41</v>
      </c>
      <c r="B22" s="18" t="s">
        <v>42</v>
      </c>
      <c r="C22" s="18">
        <v>2.5</v>
      </c>
      <c r="D22" s="18">
        <v>2.5</v>
      </c>
      <c r="E22" s="18">
        <v>2.5</v>
      </c>
      <c r="F22" s="18">
        <v>2.5</v>
      </c>
      <c r="G22" s="18">
        <v>2.5</v>
      </c>
      <c r="H22" s="18">
        <v>2.5</v>
      </c>
      <c r="I22" s="18">
        <v>2.5</v>
      </c>
      <c r="J22" s="18">
        <v>2.5</v>
      </c>
      <c r="K22" s="18">
        <v>2.5</v>
      </c>
    </row>
    <row r="23" ht="14.25" customHeight="1">
      <c r="A23" s="18" t="s">
        <v>43</v>
      </c>
      <c r="B23" s="18" t="s">
        <v>44</v>
      </c>
      <c r="C23" s="18">
        <v>6.3</v>
      </c>
      <c r="D23" s="18">
        <v>6.6</v>
      </c>
      <c r="E23" s="18">
        <v>6.8</v>
      </c>
      <c r="F23" s="18">
        <v>6.4</v>
      </c>
      <c r="G23" s="18">
        <v>6.0</v>
      </c>
      <c r="H23" s="18">
        <v>5.3</v>
      </c>
      <c r="I23" s="18">
        <v>4.8</v>
      </c>
      <c r="J23" s="18">
        <v>4.7</v>
      </c>
      <c r="K23" s="18">
        <v>4.9</v>
      </c>
    </row>
    <row r="24" ht="14.25" customHeight="1">
      <c r="A24" s="18" t="s">
        <v>45</v>
      </c>
      <c r="B24" s="18" t="s">
        <v>46</v>
      </c>
      <c r="C24" s="18">
        <v>8.2</v>
      </c>
      <c r="D24" s="18">
        <v>8.2</v>
      </c>
      <c r="E24" s="18">
        <v>8.1</v>
      </c>
      <c r="F24" s="18">
        <v>8.7</v>
      </c>
      <c r="G24" s="18">
        <v>9.5</v>
      </c>
      <c r="H24" s="18">
        <v>10.4</v>
      </c>
      <c r="I24" s="18">
        <v>10.6</v>
      </c>
      <c r="J24" s="18">
        <v>10.2</v>
      </c>
      <c r="K24" s="18">
        <v>9.9</v>
      </c>
    </row>
    <row r="25" ht="14.25" customHeight="1">
      <c r="A25" s="18" t="s">
        <v>47</v>
      </c>
      <c r="B25" s="18" t="s">
        <v>48</v>
      </c>
      <c r="C25" s="18"/>
      <c r="D25" s="18"/>
      <c r="E25" s="18"/>
      <c r="F25" s="18"/>
      <c r="G25" s="18"/>
      <c r="H25" s="18"/>
      <c r="I25" s="18"/>
      <c r="J25" s="18"/>
      <c r="K25" s="18"/>
    </row>
    <row r="26" ht="14.25" customHeight="1">
      <c r="A26" s="18" t="s">
        <v>49</v>
      </c>
      <c r="B26" s="18" t="s">
        <v>50</v>
      </c>
      <c r="C26" s="18"/>
      <c r="D26" s="18"/>
      <c r="E26" s="18"/>
      <c r="F26" s="18"/>
      <c r="G26" s="18"/>
      <c r="H26" s="18"/>
      <c r="I26" s="18"/>
      <c r="J26" s="18"/>
      <c r="K26" s="18"/>
    </row>
    <row r="27" ht="14.25" customHeight="1">
      <c r="A27" s="18" t="s">
        <v>51</v>
      </c>
      <c r="B27" s="18" t="s">
        <v>52</v>
      </c>
      <c r="C27" s="18">
        <v>17.9</v>
      </c>
      <c r="D27" s="18">
        <v>17.1</v>
      </c>
      <c r="E27" s="18">
        <v>16.0</v>
      </c>
      <c r="F27" s="18">
        <v>14.9</v>
      </c>
      <c r="G27" s="18">
        <v>14.2</v>
      </c>
      <c r="H27" s="18">
        <v>13.8</v>
      </c>
      <c r="I27" s="18">
        <v>13.7</v>
      </c>
      <c r="J27" s="18">
        <v>16.2</v>
      </c>
      <c r="K27" s="18">
        <v>19.4</v>
      </c>
    </row>
    <row r="28" ht="14.25" customHeight="1">
      <c r="A28" s="18" t="s">
        <v>53</v>
      </c>
      <c r="B28" s="18" t="s">
        <v>54</v>
      </c>
      <c r="C28" s="18"/>
      <c r="D28" s="18"/>
      <c r="E28" s="18"/>
      <c r="F28" s="18"/>
      <c r="G28" s="18"/>
      <c r="H28" s="18"/>
      <c r="I28" s="18"/>
      <c r="J28" s="18"/>
      <c r="K28" s="18"/>
    </row>
    <row r="29" ht="14.25" customHeight="1">
      <c r="A29" s="18" t="s">
        <v>55</v>
      </c>
      <c r="B29" s="18" t="s">
        <v>56</v>
      </c>
      <c r="C29" s="18">
        <v>2.5</v>
      </c>
      <c r="D29" s="18">
        <v>2.5</v>
      </c>
      <c r="E29" s="18">
        <v>2.5</v>
      </c>
      <c r="F29" s="18">
        <v>2.5</v>
      </c>
      <c r="G29" s="18">
        <v>2.5</v>
      </c>
      <c r="H29" s="18">
        <v>2.5</v>
      </c>
      <c r="I29" s="18">
        <v>2.5</v>
      </c>
      <c r="J29" s="18">
        <v>2.5</v>
      </c>
      <c r="K29" s="18">
        <v>2.5</v>
      </c>
    </row>
    <row r="30" ht="14.25" customHeight="1">
      <c r="A30" s="18" t="s">
        <v>57</v>
      </c>
      <c r="B30" s="18" t="s">
        <v>58</v>
      </c>
      <c r="C30" s="18">
        <v>23.0</v>
      </c>
      <c r="D30" s="18">
        <v>23.3</v>
      </c>
      <c r="E30" s="18">
        <v>24.1</v>
      </c>
      <c r="F30" s="18">
        <v>25.0</v>
      </c>
      <c r="G30" s="18">
        <v>26.3</v>
      </c>
      <c r="H30" s="18">
        <v>26.4</v>
      </c>
      <c r="I30" s="18">
        <v>26.4</v>
      </c>
      <c r="J30" s="18">
        <v>24.5</v>
      </c>
      <c r="K30" s="18">
        <v>22.9</v>
      </c>
    </row>
    <row r="31" ht="14.25" customHeight="1">
      <c r="A31" s="18" t="s">
        <v>59</v>
      </c>
      <c r="B31" s="18" t="s">
        <v>60</v>
      </c>
      <c r="C31" s="18">
        <v>2.8</v>
      </c>
      <c r="D31" s="18">
        <v>2.6</v>
      </c>
      <c r="E31" s="18">
        <v>2.5</v>
      </c>
      <c r="F31" s="18">
        <v>2.5</v>
      </c>
      <c r="G31" s="18">
        <v>2.5</v>
      </c>
      <c r="H31" s="18">
        <v>2.5</v>
      </c>
      <c r="I31" s="18">
        <v>2.5</v>
      </c>
      <c r="J31" s="18">
        <v>3.7</v>
      </c>
      <c r="K31" s="18">
        <v>4.7</v>
      </c>
    </row>
    <row r="32" ht="14.25" customHeight="1">
      <c r="A32" s="18" t="s">
        <v>61</v>
      </c>
      <c r="B32" s="18" t="s">
        <v>62</v>
      </c>
      <c r="C32" s="18"/>
      <c r="D32" s="18"/>
      <c r="E32" s="18"/>
      <c r="F32" s="18"/>
      <c r="G32" s="18"/>
      <c r="H32" s="18"/>
      <c r="I32" s="18"/>
      <c r="J32" s="18"/>
      <c r="K32" s="18"/>
    </row>
    <row r="33" ht="14.25" customHeight="1">
      <c r="A33" s="18" t="s">
        <v>63</v>
      </c>
      <c r="B33" s="18" t="s">
        <v>64</v>
      </c>
      <c r="C33" s="18"/>
      <c r="D33" s="18"/>
      <c r="E33" s="18"/>
      <c r="F33" s="18"/>
      <c r="G33" s="18"/>
      <c r="H33" s="18"/>
      <c r="I33" s="18"/>
      <c r="J33" s="18"/>
      <c r="K33" s="18"/>
    </row>
    <row r="34" ht="14.25" customHeight="1">
      <c r="A34" s="18" t="s">
        <v>65</v>
      </c>
      <c r="B34" s="18" t="s">
        <v>66</v>
      </c>
      <c r="C34" s="18">
        <v>3.8</v>
      </c>
      <c r="D34" s="18">
        <v>3.8</v>
      </c>
      <c r="E34" s="18">
        <v>3.7</v>
      </c>
      <c r="F34" s="18">
        <v>3.8</v>
      </c>
      <c r="G34" s="18">
        <v>3.1</v>
      </c>
      <c r="H34" s="18">
        <v>2.8</v>
      </c>
      <c r="I34" s="18">
        <v>2.7</v>
      </c>
      <c r="J34" s="18">
        <v>2.5</v>
      </c>
      <c r="K34" s="18">
        <v>2.5</v>
      </c>
    </row>
    <row r="35" ht="14.25" customHeight="1">
      <c r="A35" s="18" t="s">
        <v>67</v>
      </c>
      <c r="B35" s="18" t="s">
        <v>68</v>
      </c>
      <c r="C35" s="18">
        <v>13.2</v>
      </c>
      <c r="D35" s="18">
        <v>13.1</v>
      </c>
      <c r="E35" s="18">
        <v>13.3</v>
      </c>
      <c r="F35" s="18">
        <v>13.6</v>
      </c>
      <c r="G35" s="18">
        <v>13.7</v>
      </c>
      <c r="H35" s="18">
        <v>14.0</v>
      </c>
      <c r="I35" s="18">
        <v>14.6</v>
      </c>
      <c r="J35" s="18">
        <v>15.5</v>
      </c>
      <c r="K35" s="18">
        <v>16.2</v>
      </c>
    </row>
    <row r="36" ht="14.25" customHeight="1">
      <c r="A36" s="18" t="s">
        <v>69</v>
      </c>
      <c r="B36" s="18" t="s">
        <v>70</v>
      </c>
      <c r="C36" s="18"/>
      <c r="D36" s="18"/>
      <c r="E36" s="18"/>
      <c r="F36" s="18"/>
      <c r="G36" s="18"/>
      <c r="H36" s="18"/>
      <c r="I36" s="18"/>
      <c r="J36" s="18"/>
      <c r="K36" s="18"/>
    </row>
    <row r="37" ht="14.25" customHeight="1">
      <c r="A37" s="18" t="s">
        <v>71</v>
      </c>
      <c r="B37" s="18" t="s">
        <v>72</v>
      </c>
      <c r="C37" s="18">
        <v>19.4</v>
      </c>
      <c r="D37" s="18">
        <v>20.7</v>
      </c>
      <c r="E37" s="18">
        <v>21.4</v>
      </c>
      <c r="F37" s="18">
        <v>21.7</v>
      </c>
      <c r="G37" s="18">
        <v>20.9</v>
      </c>
      <c r="H37" s="18">
        <v>19.8</v>
      </c>
      <c r="I37" s="18">
        <v>18.5</v>
      </c>
      <c r="J37" s="18">
        <v>18.1</v>
      </c>
      <c r="K37" s="18">
        <v>18.2</v>
      </c>
    </row>
    <row r="38" ht="14.25" customHeight="1">
      <c r="A38" s="18" t="s">
        <v>73</v>
      </c>
      <c r="B38" s="18" t="s">
        <v>74</v>
      </c>
      <c r="C38" s="18">
        <v>8.0</v>
      </c>
      <c r="D38" s="18">
        <v>7.5</v>
      </c>
      <c r="E38" s="18">
        <v>6.9</v>
      </c>
      <c r="F38" s="18">
        <v>6.5</v>
      </c>
      <c r="G38" s="18">
        <v>5.8</v>
      </c>
      <c r="H38" s="18">
        <v>4.8</v>
      </c>
      <c r="I38" s="18">
        <v>4.3</v>
      </c>
      <c r="J38" s="18">
        <v>4.6</v>
      </c>
      <c r="K38" s="18">
        <v>4.8</v>
      </c>
    </row>
    <row r="39" ht="14.25" customHeight="1">
      <c r="A39" s="18" t="s">
        <v>75</v>
      </c>
      <c r="B39" s="18" t="s">
        <v>76</v>
      </c>
      <c r="C39" s="18">
        <v>3.8</v>
      </c>
      <c r="D39" s="18">
        <v>4.1</v>
      </c>
      <c r="E39" s="18">
        <v>4.4</v>
      </c>
      <c r="F39" s="18">
        <v>5.0</v>
      </c>
      <c r="G39" s="18">
        <v>5.6</v>
      </c>
      <c r="H39" s="18">
        <v>5.9</v>
      </c>
      <c r="I39" s="18">
        <v>5.8</v>
      </c>
      <c r="J39" s="18">
        <v>5.6</v>
      </c>
      <c r="K39" s="18">
        <v>6.4</v>
      </c>
    </row>
    <row r="40" ht="14.25" customHeight="1">
      <c r="A40" s="18" t="s">
        <v>77</v>
      </c>
      <c r="B40" s="18" t="s">
        <v>78</v>
      </c>
      <c r="C40" s="18">
        <v>2.5</v>
      </c>
      <c r="D40" s="18">
        <v>2.5</v>
      </c>
      <c r="E40" s="18">
        <v>2.5</v>
      </c>
      <c r="F40" s="18">
        <v>2.5</v>
      </c>
      <c r="G40" s="18">
        <v>2.5</v>
      </c>
      <c r="H40" s="18">
        <v>2.5</v>
      </c>
      <c r="I40" s="18">
        <v>2.5</v>
      </c>
      <c r="J40" s="18">
        <v>2.5</v>
      </c>
      <c r="K40" s="18">
        <v>2.5</v>
      </c>
    </row>
    <row r="41" ht="14.25" customHeight="1">
      <c r="A41" s="18" t="s">
        <v>79</v>
      </c>
      <c r="B41" s="18" t="s">
        <v>80</v>
      </c>
      <c r="C41" s="18"/>
      <c r="D41" s="18"/>
      <c r="E41" s="18"/>
      <c r="F41" s="18"/>
      <c r="G41" s="18"/>
      <c r="H41" s="18"/>
      <c r="I41" s="18"/>
      <c r="J41" s="18"/>
      <c r="K41" s="18"/>
    </row>
    <row r="42" ht="14.25" customHeight="1">
      <c r="A42" s="18" t="s">
        <v>81</v>
      </c>
      <c r="B42" s="18" t="s">
        <v>82</v>
      </c>
      <c r="C42" s="18">
        <v>42.1</v>
      </c>
      <c r="D42" s="18">
        <v>46.9</v>
      </c>
      <c r="E42" s="18">
        <v>49.1</v>
      </c>
      <c r="F42" s="18">
        <v>48.0</v>
      </c>
      <c r="G42" s="18">
        <v>46.7</v>
      </c>
      <c r="H42" s="18">
        <v>44.5</v>
      </c>
      <c r="I42" s="18">
        <v>44.8</v>
      </c>
      <c r="J42" s="18">
        <v>45.7</v>
      </c>
      <c r="K42" s="18">
        <v>48.7</v>
      </c>
    </row>
    <row r="43" ht="14.25" customHeight="1">
      <c r="A43" s="18" t="s">
        <v>83</v>
      </c>
      <c r="B43" s="18" t="s">
        <v>84</v>
      </c>
      <c r="C43" s="18">
        <v>24.1</v>
      </c>
      <c r="D43" s="18">
        <v>25.5</v>
      </c>
      <c r="E43" s="18">
        <v>26.2</v>
      </c>
      <c r="F43" s="18">
        <v>26.1</v>
      </c>
      <c r="G43" s="18">
        <v>26.0</v>
      </c>
      <c r="H43" s="18">
        <v>26.8</v>
      </c>
      <c r="I43" s="18">
        <v>28.1</v>
      </c>
      <c r="J43" s="18">
        <v>29.8</v>
      </c>
      <c r="K43" s="18">
        <v>31.4</v>
      </c>
    </row>
    <row r="44" ht="14.25" customHeight="1">
      <c r="A44" s="18" t="s">
        <v>85</v>
      </c>
      <c r="B44" s="18" t="s">
        <v>86</v>
      </c>
      <c r="C44" s="18">
        <v>3.3</v>
      </c>
      <c r="D44" s="18">
        <v>3.1</v>
      </c>
      <c r="E44" s="18">
        <v>3.1</v>
      </c>
      <c r="F44" s="18">
        <v>3.1</v>
      </c>
      <c r="G44" s="18">
        <v>3.0</v>
      </c>
      <c r="H44" s="18">
        <v>2.8</v>
      </c>
      <c r="I44" s="18">
        <v>2.6</v>
      </c>
      <c r="J44" s="18">
        <v>2.5</v>
      </c>
      <c r="K44" s="18">
        <v>2.5</v>
      </c>
    </row>
    <row r="45" ht="14.25" customHeight="1">
      <c r="A45" s="18" t="s">
        <v>89</v>
      </c>
      <c r="B45" s="18" t="s">
        <v>90</v>
      </c>
      <c r="C45" s="18">
        <v>2.5</v>
      </c>
      <c r="D45" s="18">
        <v>2.5</v>
      </c>
      <c r="E45" s="18">
        <v>2.5</v>
      </c>
      <c r="F45" s="18">
        <v>2.5</v>
      </c>
      <c r="G45" s="18">
        <v>2.5</v>
      </c>
      <c r="H45" s="18">
        <v>2.5</v>
      </c>
      <c r="I45" s="18">
        <v>2.5</v>
      </c>
      <c r="J45" s="18">
        <v>2.5</v>
      </c>
      <c r="K45" s="18">
        <v>2.5</v>
      </c>
    </row>
    <row r="46" ht="14.25" customHeight="1">
      <c r="A46" s="18" t="s">
        <v>91</v>
      </c>
      <c r="B46" s="18" t="s">
        <v>92</v>
      </c>
      <c r="C46" s="18">
        <v>7.1</v>
      </c>
      <c r="D46" s="18">
        <v>6.3</v>
      </c>
      <c r="E46" s="18">
        <v>5.8</v>
      </c>
      <c r="F46" s="18">
        <v>5.7</v>
      </c>
      <c r="G46" s="18">
        <v>5.6</v>
      </c>
      <c r="H46" s="18">
        <v>5.4</v>
      </c>
      <c r="I46" s="18">
        <v>6.4</v>
      </c>
      <c r="J46" s="18">
        <v>7.1</v>
      </c>
      <c r="K46" s="18">
        <v>8.0</v>
      </c>
    </row>
    <row r="47" ht="14.25" customHeight="1">
      <c r="A47" s="18" t="s">
        <v>471</v>
      </c>
      <c r="B47" s="18" t="s">
        <v>88</v>
      </c>
      <c r="C47" s="18">
        <v>2.5</v>
      </c>
      <c r="D47" s="18">
        <v>2.5</v>
      </c>
      <c r="E47" s="18">
        <v>2.5</v>
      </c>
      <c r="F47" s="18">
        <v>2.5</v>
      </c>
      <c r="G47" s="18">
        <v>2.5</v>
      </c>
      <c r="H47" s="18">
        <v>2.5</v>
      </c>
      <c r="I47" s="18">
        <v>2.5</v>
      </c>
      <c r="J47" s="18">
        <v>2.5</v>
      </c>
      <c r="K47" s="18">
        <v>2.5</v>
      </c>
    </row>
    <row r="48" ht="14.25" customHeight="1">
      <c r="A48" s="18" t="s">
        <v>472</v>
      </c>
      <c r="B48" s="18" t="s">
        <v>473</v>
      </c>
      <c r="C48" s="18">
        <v>4.6</v>
      </c>
      <c r="D48" s="18">
        <v>4.4</v>
      </c>
      <c r="E48" s="18">
        <v>4.3</v>
      </c>
      <c r="F48" s="18">
        <v>4.3</v>
      </c>
      <c r="G48" s="18">
        <v>4.2</v>
      </c>
      <c r="H48" s="18">
        <v>4.0</v>
      </c>
      <c r="I48" s="18">
        <v>3.7</v>
      </c>
      <c r="J48" s="18">
        <v>3.3</v>
      </c>
      <c r="K48" s="18">
        <v>3.0</v>
      </c>
    </row>
    <row r="49" ht="14.25" customHeight="1">
      <c r="A49" s="18" t="s">
        <v>93</v>
      </c>
      <c r="B49" s="18" t="s">
        <v>94</v>
      </c>
      <c r="C49" s="18">
        <v>7.0</v>
      </c>
      <c r="D49" s="18">
        <v>5.8</v>
      </c>
      <c r="E49" s="18">
        <v>4.9</v>
      </c>
      <c r="F49" s="18">
        <v>4.5</v>
      </c>
      <c r="G49" s="18">
        <v>4.3</v>
      </c>
      <c r="H49" s="18">
        <v>4.6</v>
      </c>
      <c r="I49" s="18">
        <v>5.4</v>
      </c>
      <c r="J49" s="18">
        <v>6.3</v>
      </c>
      <c r="K49" s="18">
        <v>6.6</v>
      </c>
    </row>
    <row r="50" ht="14.25" customHeight="1">
      <c r="A50" s="18" t="s">
        <v>95</v>
      </c>
      <c r="B50" s="18" t="s">
        <v>96</v>
      </c>
      <c r="C50" s="18">
        <v>13.2</v>
      </c>
      <c r="D50" s="18">
        <v>12.8</v>
      </c>
      <c r="E50" s="18">
        <v>12.4</v>
      </c>
      <c r="F50" s="18">
        <v>11.9</v>
      </c>
      <c r="G50" s="18">
        <v>11.6</v>
      </c>
      <c r="H50" s="18">
        <v>11.7</v>
      </c>
      <c r="I50" s="18">
        <v>11.6</v>
      </c>
      <c r="J50" s="18">
        <v>11.9</v>
      </c>
      <c r="K50" s="18">
        <v>13.5</v>
      </c>
    </row>
    <row r="51" ht="14.25" customHeight="1">
      <c r="A51" s="18" t="s">
        <v>97</v>
      </c>
      <c r="B51" s="18" t="s">
        <v>98</v>
      </c>
      <c r="C51" s="18">
        <v>31.0</v>
      </c>
      <c r="D51" s="18">
        <v>27.9</v>
      </c>
      <c r="E51" s="18">
        <v>27.7</v>
      </c>
      <c r="F51" s="18">
        <v>28.5</v>
      </c>
      <c r="G51" s="18">
        <v>30.2</v>
      </c>
      <c r="H51" s="18">
        <v>30.8</v>
      </c>
      <c r="I51" s="18">
        <v>31.1</v>
      </c>
      <c r="J51" s="18">
        <v>32.0</v>
      </c>
      <c r="K51" s="18">
        <v>33.3</v>
      </c>
    </row>
    <row r="52" ht="14.25" customHeight="1">
      <c r="A52" s="18" t="s">
        <v>99</v>
      </c>
      <c r="B52" s="18" t="s">
        <v>100</v>
      </c>
      <c r="C52" s="18"/>
      <c r="D52" s="18"/>
      <c r="E52" s="18"/>
      <c r="F52" s="18"/>
      <c r="G52" s="18"/>
      <c r="H52" s="18"/>
      <c r="I52" s="18"/>
      <c r="J52" s="18"/>
      <c r="K52" s="18"/>
    </row>
    <row r="53" ht="14.25" customHeight="1">
      <c r="A53" s="18" t="s">
        <v>101</v>
      </c>
      <c r="B53" s="18" t="s">
        <v>102</v>
      </c>
      <c r="C53" s="18">
        <v>5.0</v>
      </c>
      <c r="D53" s="18">
        <v>4.8</v>
      </c>
      <c r="E53" s="18">
        <v>4.2</v>
      </c>
      <c r="F53" s="18">
        <v>3.7</v>
      </c>
      <c r="G53" s="18">
        <v>3.2</v>
      </c>
      <c r="H53" s="18">
        <v>3.1</v>
      </c>
      <c r="I53" s="18">
        <v>3.1</v>
      </c>
      <c r="J53" s="18">
        <v>3.1</v>
      </c>
      <c r="K53" s="18">
        <v>3.0</v>
      </c>
    </row>
    <row r="54" ht="14.25" customHeight="1">
      <c r="A54" s="18" t="s">
        <v>103</v>
      </c>
      <c r="B54" s="18" t="s">
        <v>104</v>
      </c>
      <c r="C54" s="18">
        <v>13.4</v>
      </c>
      <c r="D54" s="18">
        <v>12.6</v>
      </c>
      <c r="E54" s="18">
        <v>11.9</v>
      </c>
      <c r="F54" s="18">
        <v>10.6</v>
      </c>
      <c r="G54" s="18">
        <v>9.8</v>
      </c>
      <c r="H54" s="18">
        <v>9.0</v>
      </c>
      <c r="I54" s="18">
        <v>8.4</v>
      </c>
      <c r="J54" s="18">
        <v>7.9</v>
      </c>
      <c r="K54" s="18">
        <v>7.7</v>
      </c>
    </row>
    <row r="55" ht="14.25" customHeight="1">
      <c r="A55" s="18" t="s">
        <v>105</v>
      </c>
      <c r="B55" s="18" t="s">
        <v>106</v>
      </c>
      <c r="C55" s="18">
        <v>2.5</v>
      </c>
      <c r="D55" s="18">
        <v>2.5</v>
      </c>
      <c r="E55" s="18">
        <v>2.5</v>
      </c>
      <c r="F55" s="18">
        <v>2.5</v>
      </c>
      <c r="G55" s="18">
        <v>2.5</v>
      </c>
      <c r="H55" s="18">
        <v>2.5</v>
      </c>
      <c r="I55" s="18">
        <v>2.5</v>
      </c>
      <c r="J55" s="18">
        <v>2.5</v>
      </c>
      <c r="K55" s="18">
        <v>2.5</v>
      </c>
    </row>
    <row r="56" ht="14.25" customHeight="1">
      <c r="A56" s="18" t="s">
        <v>107</v>
      </c>
      <c r="B56" s="18" t="s">
        <v>108</v>
      </c>
      <c r="C56" s="18">
        <v>2.5</v>
      </c>
      <c r="D56" s="18">
        <v>2.5</v>
      </c>
      <c r="E56" s="18">
        <v>2.5</v>
      </c>
      <c r="F56" s="18">
        <v>2.5</v>
      </c>
      <c r="G56" s="18">
        <v>2.5</v>
      </c>
      <c r="H56" s="18">
        <v>2.5</v>
      </c>
      <c r="I56" s="18">
        <v>2.5</v>
      </c>
      <c r="J56" s="18">
        <v>2.5</v>
      </c>
      <c r="K56" s="18">
        <v>2.5</v>
      </c>
    </row>
    <row r="57" ht="14.25" customHeight="1">
      <c r="A57" s="18" t="s">
        <v>109</v>
      </c>
      <c r="B57" s="18" t="s">
        <v>110</v>
      </c>
      <c r="C57" s="18"/>
      <c r="D57" s="18"/>
      <c r="E57" s="18"/>
      <c r="F57" s="18"/>
      <c r="G57" s="18"/>
      <c r="H57" s="18"/>
      <c r="I57" s="18"/>
      <c r="J57" s="18"/>
      <c r="K57" s="18"/>
    </row>
    <row r="58" ht="14.25" customHeight="1">
      <c r="A58" s="18" t="s">
        <v>111</v>
      </c>
      <c r="B58" s="18" t="s">
        <v>112</v>
      </c>
      <c r="C58" s="18">
        <v>2.5</v>
      </c>
      <c r="D58" s="18">
        <v>2.5</v>
      </c>
      <c r="E58" s="18">
        <v>2.5</v>
      </c>
      <c r="F58" s="18">
        <v>2.5</v>
      </c>
      <c r="G58" s="18">
        <v>2.5</v>
      </c>
      <c r="H58" s="18">
        <v>2.5</v>
      </c>
      <c r="I58" s="18">
        <v>2.5</v>
      </c>
      <c r="J58" s="18">
        <v>2.5</v>
      </c>
      <c r="K58" s="18">
        <v>2.5</v>
      </c>
    </row>
    <row r="59" ht="14.25" customHeight="1">
      <c r="A59" s="18" t="s">
        <v>113</v>
      </c>
      <c r="B59" s="18" t="s">
        <v>114</v>
      </c>
      <c r="C59" s="18">
        <v>2.5</v>
      </c>
      <c r="D59" s="18">
        <v>2.5</v>
      </c>
      <c r="E59" s="18">
        <v>2.5</v>
      </c>
      <c r="F59" s="18">
        <v>2.5</v>
      </c>
      <c r="G59" s="18">
        <v>2.5</v>
      </c>
      <c r="H59" s="18">
        <v>2.5</v>
      </c>
      <c r="I59" s="18">
        <v>2.5</v>
      </c>
      <c r="J59" s="18">
        <v>2.5</v>
      </c>
      <c r="K59" s="18">
        <v>2.5</v>
      </c>
    </row>
    <row r="60" ht="14.25" customHeight="1">
      <c r="A60" s="18" t="s">
        <v>115</v>
      </c>
      <c r="B60" s="18" t="s">
        <v>116</v>
      </c>
      <c r="C60" s="18">
        <v>39.0</v>
      </c>
      <c r="D60" s="18">
        <v>39.8</v>
      </c>
      <c r="E60" s="18">
        <v>40.5</v>
      </c>
      <c r="F60" s="18">
        <v>41.4</v>
      </c>
      <c r="G60" s="18">
        <v>43.0</v>
      </c>
      <c r="H60" s="18">
        <v>42.5</v>
      </c>
      <c r="I60" s="18">
        <v>43.3</v>
      </c>
      <c r="J60" s="18">
        <v>43.9</v>
      </c>
      <c r="K60" s="18">
        <v>45.5</v>
      </c>
    </row>
    <row r="61" ht="14.25" customHeight="1">
      <c r="A61" s="18" t="s">
        <v>117</v>
      </c>
      <c r="B61" s="18" t="s">
        <v>118</v>
      </c>
      <c r="C61" s="18">
        <v>29.4</v>
      </c>
      <c r="D61" s="18">
        <v>29.6</v>
      </c>
      <c r="E61" s="18">
        <v>30.2</v>
      </c>
      <c r="F61" s="18">
        <v>30.8</v>
      </c>
      <c r="G61" s="18">
        <v>31.2</v>
      </c>
      <c r="H61" s="18">
        <v>31.0</v>
      </c>
      <c r="I61" s="18">
        <v>32.5</v>
      </c>
      <c r="J61" s="18">
        <v>33.9</v>
      </c>
      <c r="K61" s="18">
        <v>35.3</v>
      </c>
    </row>
    <row r="62" ht="14.25" customHeight="1">
      <c r="A62" s="18" t="s">
        <v>119</v>
      </c>
      <c r="B62" s="18" t="s">
        <v>120</v>
      </c>
      <c r="C62" s="18">
        <v>2.5</v>
      </c>
      <c r="D62" s="18">
        <v>2.5</v>
      </c>
      <c r="E62" s="18">
        <v>2.5</v>
      </c>
      <c r="F62" s="18">
        <v>2.5</v>
      </c>
      <c r="G62" s="18">
        <v>2.5</v>
      </c>
      <c r="H62" s="18">
        <v>2.5</v>
      </c>
      <c r="I62" s="18">
        <v>2.5</v>
      </c>
      <c r="J62" s="18">
        <v>2.5</v>
      </c>
      <c r="K62" s="18">
        <v>2.5</v>
      </c>
    </row>
    <row r="63" ht="14.25" customHeight="1">
      <c r="A63" s="18" t="s">
        <v>121</v>
      </c>
      <c r="B63" s="18" t="s">
        <v>122</v>
      </c>
      <c r="C63" s="18">
        <v>25.3</v>
      </c>
      <c r="D63" s="18">
        <v>22.9</v>
      </c>
      <c r="E63" s="18">
        <v>21.3</v>
      </c>
      <c r="F63" s="18">
        <v>20.2</v>
      </c>
      <c r="G63" s="18">
        <v>19.9</v>
      </c>
      <c r="H63" s="18">
        <v>19.4</v>
      </c>
      <c r="I63" s="18">
        <v>19.0</v>
      </c>
      <c r="J63" s="18">
        <v>17.3</v>
      </c>
      <c r="K63" s="18">
        <v>16.8</v>
      </c>
    </row>
    <row r="64" ht="14.25" customHeight="1">
      <c r="A64" s="18" t="s">
        <v>123</v>
      </c>
      <c r="B64" s="18" t="s">
        <v>124</v>
      </c>
      <c r="C64" s="18">
        <v>4.7</v>
      </c>
      <c r="D64" s="18">
        <v>5.0</v>
      </c>
      <c r="E64" s="18">
        <v>5.6</v>
      </c>
      <c r="F64" s="18">
        <v>5.6</v>
      </c>
      <c r="G64" s="18">
        <v>6.1</v>
      </c>
      <c r="H64" s="18">
        <v>6.4</v>
      </c>
      <c r="I64" s="18">
        <v>6.8</v>
      </c>
      <c r="J64" s="18">
        <v>7.1</v>
      </c>
      <c r="K64" s="18">
        <v>6.7</v>
      </c>
    </row>
    <row r="65" ht="14.25" customHeight="1">
      <c r="A65" s="18" t="s">
        <v>125</v>
      </c>
      <c r="B65" s="18" t="s">
        <v>126</v>
      </c>
      <c r="C65" s="18">
        <v>9.2</v>
      </c>
      <c r="D65" s="18">
        <v>8.4</v>
      </c>
      <c r="E65" s="18">
        <v>7.4</v>
      </c>
      <c r="F65" s="18">
        <v>6.7</v>
      </c>
      <c r="G65" s="18">
        <v>6.0</v>
      </c>
      <c r="H65" s="18">
        <v>5.7</v>
      </c>
      <c r="I65" s="18">
        <v>6.3</v>
      </c>
      <c r="J65" s="18">
        <v>6.3</v>
      </c>
      <c r="K65" s="18">
        <v>6.3</v>
      </c>
    </row>
    <row r="66" ht="14.25" customHeight="1">
      <c r="A66" s="18" t="s">
        <v>127</v>
      </c>
      <c r="B66" s="18" t="s">
        <v>128</v>
      </c>
      <c r="C66" s="18">
        <v>8.7</v>
      </c>
      <c r="D66" s="18">
        <v>8.6</v>
      </c>
      <c r="E66" s="18">
        <v>9.0</v>
      </c>
      <c r="F66" s="18">
        <v>9.7</v>
      </c>
      <c r="G66" s="18">
        <v>10.8</v>
      </c>
      <c r="H66" s="18">
        <v>11.9</v>
      </c>
      <c r="I66" s="18">
        <v>13.4</v>
      </c>
      <c r="J66" s="18">
        <v>14.1</v>
      </c>
      <c r="K66" s="18">
        <v>13.9</v>
      </c>
    </row>
    <row r="67" ht="14.25" customHeight="1">
      <c r="A67" s="18" t="s">
        <v>129</v>
      </c>
      <c r="B67" s="18" t="s">
        <v>130</v>
      </c>
      <c r="C67" s="18">
        <v>5.3</v>
      </c>
      <c r="D67" s="18">
        <v>5.5</v>
      </c>
      <c r="E67" s="18">
        <v>5.8</v>
      </c>
      <c r="F67" s="18">
        <v>6.0</v>
      </c>
      <c r="G67" s="18">
        <v>6.4</v>
      </c>
      <c r="H67" s="18">
        <v>6.3</v>
      </c>
      <c r="I67" s="18">
        <v>6.3</v>
      </c>
      <c r="J67" s="18">
        <v>6.4</v>
      </c>
      <c r="K67" s="18">
        <v>7.2</v>
      </c>
    </row>
    <row r="68" ht="14.25" customHeight="1">
      <c r="A68" s="18" t="s">
        <v>131</v>
      </c>
      <c r="B68" s="18" t="s">
        <v>132</v>
      </c>
      <c r="C68" s="18">
        <v>9.8</v>
      </c>
      <c r="D68" s="18">
        <v>10.0</v>
      </c>
      <c r="E68" s="18">
        <v>9.6</v>
      </c>
      <c r="F68" s="18">
        <v>8.9</v>
      </c>
      <c r="G68" s="18">
        <v>8.0</v>
      </c>
      <c r="H68" s="18">
        <v>7.1</v>
      </c>
      <c r="I68" s="18">
        <v>7.2</v>
      </c>
      <c r="J68" s="18">
        <v>7.0</v>
      </c>
      <c r="K68" s="18">
        <v>7.7</v>
      </c>
    </row>
    <row r="69" ht="14.25" customHeight="1">
      <c r="A69" s="18" t="s">
        <v>133</v>
      </c>
      <c r="B69" s="18" t="s">
        <v>134</v>
      </c>
      <c r="C69" s="18"/>
      <c r="D69" s="18"/>
      <c r="E69" s="18"/>
      <c r="F69" s="18"/>
      <c r="G69" s="18"/>
      <c r="H69" s="18"/>
      <c r="I69" s="18"/>
      <c r="J69" s="18"/>
      <c r="K69" s="18"/>
    </row>
    <row r="70" ht="14.25" customHeight="1">
      <c r="A70" s="18" t="s">
        <v>135</v>
      </c>
      <c r="B70" s="18" t="s">
        <v>136</v>
      </c>
      <c r="C70" s="18"/>
      <c r="D70" s="18"/>
      <c r="E70" s="18"/>
      <c r="F70" s="18"/>
      <c r="G70" s="18"/>
      <c r="H70" s="18"/>
      <c r="I70" s="18"/>
      <c r="J70" s="18"/>
      <c r="K70" s="18"/>
    </row>
    <row r="71" ht="14.25" customHeight="1">
      <c r="A71" s="18" t="s">
        <v>137</v>
      </c>
      <c r="B71" s="18" t="s">
        <v>138</v>
      </c>
      <c r="C71" s="18">
        <v>2.5</v>
      </c>
      <c r="D71" s="18">
        <v>2.5</v>
      </c>
      <c r="E71" s="18">
        <v>2.5</v>
      </c>
      <c r="F71" s="18">
        <v>2.5</v>
      </c>
      <c r="G71" s="18">
        <v>2.5</v>
      </c>
      <c r="H71" s="18">
        <v>2.5</v>
      </c>
      <c r="I71" s="18">
        <v>2.5</v>
      </c>
      <c r="J71" s="18">
        <v>2.5</v>
      </c>
      <c r="K71" s="18">
        <v>2.5</v>
      </c>
    </row>
    <row r="72" ht="14.25" customHeight="1">
      <c r="A72" s="18" t="s">
        <v>139</v>
      </c>
      <c r="B72" s="18" t="s">
        <v>140</v>
      </c>
      <c r="C72" s="18">
        <v>15.8</v>
      </c>
      <c r="D72" s="18">
        <v>14.4</v>
      </c>
      <c r="E72" s="18">
        <v>14.4</v>
      </c>
      <c r="F72" s="18">
        <v>14.5</v>
      </c>
      <c r="G72" s="18">
        <v>13.7</v>
      </c>
      <c r="H72" s="18">
        <v>12.9</v>
      </c>
      <c r="I72" s="18">
        <v>12.1</v>
      </c>
      <c r="J72" s="18">
        <v>11.9</v>
      </c>
      <c r="K72" s="18">
        <v>11.6</v>
      </c>
    </row>
    <row r="73" ht="14.25" customHeight="1">
      <c r="A73" s="18" t="s">
        <v>141</v>
      </c>
      <c r="B73" s="18" t="s">
        <v>142</v>
      </c>
      <c r="C73" s="18">
        <v>17.3</v>
      </c>
      <c r="D73" s="18">
        <v>15.6</v>
      </c>
      <c r="E73" s="18">
        <v>14.5</v>
      </c>
      <c r="F73" s="18">
        <v>14.1</v>
      </c>
      <c r="G73" s="18">
        <v>15.5</v>
      </c>
      <c r="H73" s="18">
        <v>18.0</v>
      </c>
      <c r="I73" s="18">
        <v>20.7</v>
      </c>
      <c r="J73" s="18">
        <v>22.3</v>
      </c>
      <c r="K73" s="18">
        <v>21.9</v>
      </c>
    </row>
    <row r="74" ht="14.25" customHeight="1">
      <c r="A74" s="18" t="s">
        <v>143</v>
      </c>
      <c r="B74" s="18" t="s">
        <v>144</v>
      </c>
      <c r="C74" s="18"/>
      <c r="D74" s="18"/>
      <c r="E74" s="18"/>
      <c r="F74" s="18"/>
      <c r="G74" s="18"/>
      <c r="H74" s="18"/>
      <c r="I74" s="18"/>
      <c r="J74" s="18"/>
      <c r="K74" s="18"/>
    </row>
    <row r="75" ht="14.25" customHeight="1">
      <c r="A75" s="18" t="s">
        <v>145</v>
      </c>
      <c r="B75" s="18" t="s">
        <v>146</v>
      </c>
      <c r="C75" s="18"/>
      <c r="D75" s="18"/>
      <c r="E75" s="18"/>
      <c r="F75" s="18"/>
      <c r="G75" s="18"/>
      <c r="H75" s="18"/>
      <c r="I75" s="18"/>
      <c r="J75" s="18"/>
      <c r="K75" s="18"/>
    </row>
    <row r="76" ht="14.25" customHeight="1">
      <c r="A76" s="18" t="s">
        <v>147</v>
      </c>
      <c r="B76" s="18" t="s">
        <v>148</v>
      </c>
      <c r="C76" s="18">
        <v>9.2</v>
      </c>
      <c r="D76" s="18">
        <v>8.9</v>
      </c>
      <c r="E76" s="18">
        <v>9.2</v>
      </c>
      <c r="F76" s="18">
        <v>8.9</v>
      </c>
      <c r="G76" s="18">
        <v>8.4</v>
      </c>
      <c r="H76" s="18">
        <v>6.9</v>
      </c>
      <c r="I76" s="18">
        <v>5.7</v>
      </c>
      <c r="J76" s="18">
        <v>5.9</v>
      </c>
      <c r="K76" s="18">
        <v>6.6</v>
      </c>
    </row>
    <row r="77" ht="14.25" customHeight="1">
      <c r="A77" s="18" t="s">
        <v>149</v>
      </c>
      <c r="B77" s="18" t="s">
        <v>150</v>
      </c>
      <c r="C77" s="18">
        <v>2.5</v>
      </c>
      <c r="D77" s="18">
        <v>2.5</v>
      </c>
      <c r="E77" s="18">
        <v>2.5</v>
      </c>
      <c r="F77" s="18">
        <v>2.5</v>
      </c>
      <c r="G77" s="18">
        <v>2.5</v>
      </c>
      <c r="H77" s="18">
        <v>2.5</v>
      </c>
      <c r="I77" s="18">
        <v>2.5</v>
      </c>
      <c r="J77" s="18">
        <v>2.5</v>
      </c>
      <c r="K77" s="18">
        <v>2.5</v>
      </c>
    </row>
    <row r="78" ht="14.25" customHeight="1">
      <c r="A78" s="18" t="s">
        <v>151</v>
      </c>
      <c r="B78" s="18" t="s">
        <v>152</v>
      </c>
      <c r="C78" s="18">
        <v>2.5</v>
      </c>
      <c r="D78" s="18">
        <v>2.5</v>
      </c>
      <c r="E78" s="18">
        <v>2.5</v>
      </c>
      <c r="F78" s="18">
        <v>2.5</v>
      </c>
      <c r="G78" s="18">
        <v>2.5</v>
      </c>
      <c r="H78" s="18">
        <v>2.5</v>
      </c>
      <c r="I78" s="18">
        <v>2.5</v>
      </c>
      <c r="J78" s="18">
        <v>2.5</v>
      </c>
      <c r="K78" s="18">
        <v>2.5</v>
      </c>
    </row>
    <row r="79" ht="14.25" customHeight="1">
      <c r="A79" s="18" t="s">
        <v>153</v>
      </c>
      <c r="B79" s="18" t="s">
        <v>154</v>
      </c>
      <c r="C79" s="18"/>
      <c r="D79" s="18"/>
      <c r="E79" s="18"/>
      <c r="F79" s="18"/>
      <c r="G79" s="18"/>
      <c r="H79" s="18"/>
      <c r="I79" s="18"/>
      <c r="J79" s="18"/>
      <c r="K79" s="18"/>
    </row>
    <row r="80" ht="14.25" customHeight="1">
      <c r="A80" s="18" t="s">
        <v>155</v>
      </c>
      <c r="B80" s="18" t="s">
        <v>156</v>
      </c>
      <c r="C80" s="18">
        <v>5.0</v>
      </c>
      <c r="D80" s="18">
        <v>5.3</v>
      </c>
      <c r="E80" s="18">
        <v>5.7</v>
      </c>
      <c r="F80" s="18">
        <v>6.1</v>
      </c>
      <c r="G80" s="18">
        <v>6.5</v>
      </c>
      <c r="H80" s="18">
        <v>6.3</v>
      </c>
      <c r="I80" s="18">
        <v>5.9</v>
      </c>
      <c r="J80" s="18">
        <v>5.4</v>
      </c>
      <c r="K80" s="18">
        <v>5.1</v>
      </c>
    </row>
    <row r="81" ht="14.25" customHeight="1">
      <c r="A81" s="18" t="s">
        <v>157</v>
      </c>
      <c r="B81" s="18" t="s">
        <v>158</v>
      </c>
      <c r="C81" s="18">
        <v>15.4</v>
      </c>
      <c r="D81" s="18">
        <v>15.7</v>
      </c>
      <c r="E81" s="18">
        <v>16.3</v>
      </c>
      <c r="F81" s="18">
        <v>17.4</v>
      </c>
      <c r="G81" s="18">
        <v>18.4</v>
      </c>
      <c r="H81" s="18">
        <v>19.5</v>
      </c>
      <c r="I81" s="18">
        <v>20.9</v>
      </c>
      <c r="J81" s="18">
        <v>22.1</v>
      </c>
      <c r="K81" s="18">
        <v>23.0</v>
      </c>
    </row>
    <row r="82" ht="14.25" customHeight="1">
      <c r="A82" s="18" t="s">
        <v>159</v>
      </c>
      <c r="B82" s="18" t="s">
        <v>160</v>
      </c>
      <c r="C82" s="18">
        <v>14.4</v>
      </c>
      <c r="D82" s="18">
        <v>15.4</v>
      </c>
      <c r="E82" s="18">
        <v>15.9</v>
      </c>
      <c r="F82" s="18">
        <v>16.7</v>
      </c>
      <c r="G82" s="18">
        <v>17.6</v>
      </c>
      <c r="H82" s="18">
        <v>17.8</v>
      </c>
      <c r="I82" s="18">
        <v>18.3</v>
      </c>
      <c r="J82" s="18">
        <v>18.7</v>
      </c>
      <c r="K82" s="18">
        <v>19.6</v>
      </c>
    </row>
    <row r="83" ht="14.25" customHeight="1">
      <c r="A83" s="18" t="s">
        <v>161</v>
      </c>
      <c r="B83" s="18" t="s">
        <v>162</v>
      </c>
      <c r="C83" s="18">
        <v>4.0</v>
      </c>
      <c r="D83" s="18">
        <v>3.6</v>
      </c>
      <c r="E83" s="18">
        <v>3.6</v>
      </c>
      <c r="F83" s="18">
        <v>3.7</v>
      </c>
      <c r="G83" s="18">
        <v>3.7</v>
      </c>
      <c r="H83" s="18">
        <v>3.1</v>
      </c>
      <c r="I83" s="18">
        <v>3.1</v>
      </c>
      <c r="J83" s="18">
        <v>3.0</v>
      </c>
      <c r="K83" s="18">
        <v>2.9</v>
      </c>
    </row>
    <row r="84" ht="14.25" customHeight="1">
      <c r="A84" s="18" t="s">
        <v>163</v>
      </c>
      <c r="B84" s="18" t="s">
        <v>164</v>
      </c>
      <c r="C84" s="18">
        <v>2.5</v>
      </c>
      <c r="D84" s="18">
        <v>2.5</v>
      </c>
      <c r="E84" s="18">
        <v>2.5</v>
      </c>
      <c r="F84" s="18">
        <v>2.5</v>
      </c>
      <c r="G84" s="18">
        <v>2.5</v>
      </c>
      <c r="H84" s="18">
        <v>2.5</v>
      </c>
      <c r="I84" s="18">
        <v>2.5</v>
      </c>
      <c r="J84" s="18">
        <v>2.5</v>
      </c>
      <c r="K84" s="18">
        <v>2.5</v>
      </c>
    </row>
    <row r="85" ht="14.25" customHeight="1">
      <c r="A85" s="18" t="s">
        <v>165</v>
      </c>
      <c r="B85" s="18" t="s">
        <v>166</v>
      </c>
      <c r="C85" s="18">
        <v>6.9</v>
      </c>
      <c r="D85" s="18">
        <v>7.5</v>
      </c>
      <c r="E85" s="18">
        <v>8.2</v>
      </c>
      <c r="F85" s="18">
        <v>8.3</v>
      </c>
      <c r="G85" s="18">
        <v>7.6</v>
      </c>
      <c r="H85" s="18">
        <v>6.5</v>
      </c>
      <c r="I85" s="18">
        <v>5.7</v>
      </c>
      <c r="J85" s="18">
        <v>5.1</v>
      </c>
      <c r="K85" s="18">
        <v>4.9</v>
      </c>
    </row>
    <row r="86" ht="14.25" customHeight="1">
      <c r="A86" s="18" t="s">
        <v>167</v>
      </c>
      <c r="B86" s="18" t="s">
        <v>168</v>
      </c>
      <c r="C86" s="18"/>
      <c r="D86" s="18"/>
      <c r="E86" s="18"/>
      <c r="F86" s="18"/>
      <c r="G86" s="18"/>
      <c r="H86" s="18"/>
      <c r="I86" s="18"/>
      <c r="J86" s="18"/>
      <c r="K86" s="18"/>
    </row>
    <row r="87" ht="14.25" customHeight="1">
      <c r="A87" s="18" t="s">
        <v>169</v>
      </c>
      <c r="B87" s="18" t="s">
        <v>170</v>
      </c>
      <c r="C87" s="18">
        <v>2.5</v>
      </c>
      <c r="D87" s="18">
        <v>2.5</v>
      </c>
      <c r="E87" s="18">
        <v>2.5</v>
      </c>
      <c r="F87" s="18">
        <v>2.5</v>
      </c>
      <c r="G87" s="18">
        <v>2.5</v>
      </c>
      <c r="H87" s="18">
        <v>2.5</v>
      </c>
      <c r="I87" s="18">
        <v>2.5</v>
      </c>
      <c r="J87" s="18">
        <v>2.5</v>
      </c>
      <c r="K87" s="18">
        <v>2.5</v>
      </c>
    </row>
    <row r="88" ht="14.25" customHeight="1">
      <c r="A88" s="18" t="s">
        <v>171</v>
      </c>
      <c r="B88" s="18" t="s">
        <v>172</v>
      </c>
      <c r="C88" s="18"/>
      <c r="D88" s="18"/>
      <c r="E88" s="18"/>
      <c r="F88" s="18"/>
      <c r="G88" s="18"/>
      <c r="H88" s="18"/>
      <c r="I88" s="18"/>
      <c r="J88" s="18"/>
      <c r="K88" s="18"/>
    </row>
    <row r="89" ht="14.25" customHeight="1">
      <c r="A89" s="18" t="s">
        <v>173</v>
      </c>
      <c r="B89" s="18" t="s">
        <v>174</v>
      </c>
      <c r="C89" s="18"/>
      <c r="D89" s="18"/>
      <c r="E89" s="18"/>
      <c r="F89" s="18"/>
      <c r="G89" s="18"/>
      <c r="H89" s="18"/>
      <c r="I89" s="18"/>
      <c r="J89" s="18"/>
      <c r="K89" s="18"/>
    </row>
    <row r="90" ht="14.25" customHeight="1">
      <c r="A90" s="18" t="s">
        <v>175</v>
      </c>
      <c r="B90" s="18" t="s">
        <v>176</v>
      </c>
      <c r="C90" s="18"/>
      <c r="D90" s="18"/>
      <c r="E90" s="18"/>
      <c r="F90" s="18"/>
      <c r="G90" s="18"/>
      <c r="H90" s="18"/>
      <c r="I90" s="18"/>
      <c r="J90" s="18"/>
      <c r="K90" s="18"/>
    </row>
    <row r="91" ht="14.25" customHeight="1">
      <c r="A91" s="18" t="s">
        <v>177</v>
      </c>
      <c r="B91" s="18" t="s">
        <v>178</v>
      </c>
      <c r="C91" s="18"/>
      <c r="D91" s="18"/>
      <c r="E91" s="18"/>
      <c r="F91" s="18"/>
      <c r="G91" s="18"/>
      <c r="H91" s="18"/>
      <c r="I91" s="18"/>
      <c r="J91" s="18"/>
      <c r="K91" s="18"/>
    </row>
    <row r="92" ht="14.25" customHeight="1">
      <c r="A92" s="18" t="s">
        <v>179</v>
      </c>
      <c r="B92" s="18" t="s">
        <v>180</v>
      </c>
      <c r="C92" s="18">
        <v>16.1</v>
      </c>
      <c r="D92" s="18">
        <v>16.2</v>
      </c>
      <c r="E92" s="18">
        <v>15.7</v>
      </c>
      <c r="F92" s="18">
        <v>14.8</v>
      </c>
      <c r="G92" s="18">
        <v>14.4</v>
      </c>
      <c r="H92" s="18">
        <v>14.1</v>
      </c>
      <c r="I92" s="18">
        <v>14.1</v>
      </c>
      <c r="J92" s="18">
        <v>13.5</v>
      </c>
      <c r="K92" s="18">
        <v>13.3</v>
      </c>
    </row>
    <row r="93" ht="14.25" customHeight="1">
      <c r="A93" s="18" t="s">
        <v>181</v>
      </c>
      <c r="B93" s="18" t="s">
        <v>182</v>
      </c>
      <c r="C93" s="18">
        <v>13.5</v>
      </c>
      <c r="D93" s="18">
        <v>12.9</v>
      </c>
      <c r="E93" s="18">
        <v>12.9</v>
      </c>
      <c r="F93" s="18">
        <v>13.3</v>
      </c>
      <c r="G93" s="18">
        <v>13.3</v>
      </c>
      <c r="H93" s="18">
        <v>12.7</v>
      </c>
      <c r="I93" s="18">
        <v>12.5</v>
      </c>
      <c r="J93" s="18">
        <v>12.4</v>
      </c>
      <c r="K93" s="18">
        <v>12.9</v>
      </c>
    </row>
    <row r="94" ht="14.25" customHeight="1">
      <c r="A94" s="18" t="s">
        <v>183</v>
      </c>
      <c r="B94" s="18" t="s">
        <v>184</v>
      </c>
      <c r="C94" s="18">
        <v>33.0</v>
      </c>
      <c r="D94" s="18">
        <v>34.8</v>
      </c>
      <c r="E94" s="18">
        <v>35.1</v>
      </c>
      <c r="F94" s="18">
        <v>34.0</v>
      </c>
      <c r="G94" s="18">
        <v>32.9</v>
      </c>
      <c r="H94" s="18">
        <v>33.1</v>
      </c>
      <c r="I94" s="18">
        <v>35.3</v>
      </c>
      <c r="J94" s="18">
        <v>36.8</v>
      </c>
      <c r="K94" s="18">
        <v>37.9</v>
      </c>
    </row>
    <row r="95" ht="14.25" customHeight="1">
      <c r="A95" s="18" t="s">
        <v>185</v>
      </c>
      <c r="B95" s="18" t="s">
        <v>186</v>
      </c>
      <c r="C95" s="18">
        <v>7.4</v>
      </c>
      <c r="D95" s="18">
        <v>6.1</v>
      </c>
      <c r="E95" s="18">
        <v>4.5</v>
      </c>
      <c r="F95" s="18">
        <v>3.4</v>
      </c>
      <c r="G95" s="18">
        <v>3.3</v>
      </c>
      <c r="H95" s="18">
        <v>3.5</v>
      </c>
      <c r="I95" s="18">
        <v>3.6</v>
      </c>
      <c r="J95" s="18">
        <v>3.0</v>
      </c>
      <c r="K95" s="18">
        <v>2.5</v>
      </c>
    </row>
    <row r="96" ht="14.25" customHeight="1">
      <c r="A96" s="18" t="s">
        <v>187</v>
      </c>
      <c r="B96" s="18" t="s">
        <v>188</v>
      </c>
      <c r="C96" s="18">
        <v>40.0</v>
      </c>
      <c r="D96" s="18">
        <v>38.7</v>
      </c>
      <c r="E96" s="18">
        <v>38.8</v>
      </c>
      <c r="F96" s="18">
        <v>39.6</v>
      </c>
      <c r="G96" s="18">
        <v>41.1</v>
      </c>
      <c r="H96" s="18">
        <v>42.2</v>
      </c>
      <c r="I96" s="18">
        <v>43.6</v>
      </c>
      <c r="J96" s="18">
        <v>43.3</v>
      </c>
      <c r="K96" s="18">
        <v>45.0</v>
      </c>
    </row>
    <row r="97" ht="14.25" customHeight="1">
      <c r="A97" s="18" t="s">
        <v>189</v>
      </c>
      <c r="B97" s="18" t="s">
        <v>190</v>
      </c>
      <c r="C97" s="18"/>
      <c r="D97" s="18"/>
      <c r="E97" s="18"/>
      <c r="F97" s="18"/>
      <c r="G97" s="18"/>
      <c r="H97" s="18"/>
      <c r="I97" s="18"/>
      <c r="J97" s="18"/>
      <c r="K97" s="18"/>
    </row>
    <row r="98" ht="14.25" customHeight="1">
      <c r="A98" s="18" t="s">
        <v>191</v>
      </c>
      <c r="B98" s="18" t="s">
        <v>192</v>
      </c>
      <c r="C98" s="18">
        <v>15.1</v>
      </c>
      <c r="D98" s="18">
        <v>15.6</v>
      </c>
      <c r="E98" s="18">
        <v>15.5</v>
      </c>
      <c r="F98" s="18">
        <v>14.9</v>
      </c>
      <c r="G98" s="18">
        <v>14.3</v>
      </c>
      <c r="H98" s="18">
        <v>14.1</v>
      </c>
      <c r="I98" s="18">
        <v>14.5</v>
      </c>
      <c r="J98" s="18">
        <v>16.2</v>
      </c>
      <c r="K98" s="18">
        <v>18.7</v>
      </c>
    </row>
    <row r="99" ht="14.25" customHeight="1">
      <c r="A99" s="18" t="s">
        <v>193</v>
      </c>
      <c r="B99" s="18" t="s">
        <v>194</v>
      </c>
      <c r="C99" s="18">
        <v>2.5</v>
      </c>
      <c r="D99" s="18">
        <v>2.5</v>
      </c>
      <c r="E99" s="18">
        <v>2.5</v>
      </c>
      <c r="F99" s="18">
        <v>2.5</v>
      </c>
      <c r="G99" s="18">
        <v>2.5</v>
      </c>
      <c r="H99" s="18">
        <v>2.5</v>
      </c>
      <c r="I99" s="18">
        <v>2.5</v>
      </c>
      <c r="J99" s="18">
        <v>2.5</v>
      </c>
      <c r="K99" s="18">
        <v>2.5</v>
      </c>
    </row>
    <row r="100" ht="14.25" customHeight="1">
      <c r="A100" s="18" t="s">
        <v>195</v>
      </c>
      <c r="B100" s="18" t="s">
        <v>196</v>
      </c>
      <c r="C100" s="18">
        <v>2.5</v>
      </c>
      <c r="D100" s="18">
        <v>2.5</v>
      </c>
      <c r="E100" s="18">
        <v>2.5</v>
      </c>
      <c r="F100" s="18">
        <v>2.5</v>
      </c>
      <c r="G100" s="18">
        <v>2.5</v>
      </c>
      <c r="H100" s="18">
        <v>2.5</v>
      </c>
      <c r="I100" s="18">
        <v>2.5</v>
      </c>
      <c r="J100" s="18">
        <v>2.5</v>
      </c>
      <c r="K100" s="18">
        <v>2.5</v>
      </c>
    </row>
    <row r="101" ht="14.25" customHeight="1">
      <c r="A101" s="18" t="s">
        <v>197</v>
      </c>
      <c r="B101" s="18" t="s">
        <v>198</v>
      </c>
      <c r="C101" s="18">
        <v>14.6</v>
      </c>
      <c r="D101" s="18">
        <v>14.4</v>
      </c>
      <c r="E101" s="18">
        <v>14.0</v>
      </c>
      <c r="F101" s="18">
        <v>13.5</v>
      </c>
      <c r="G101" s="18">
        <v>12.9</v>
      </c>
      <c r="H101" s="18">
        <v>13.1</v>
      </c>
      <c r="I101" s="18">
        <v>14.4</v>
      </c>
      <c r="J101" s="18">
        <v>15.9</v>
      </c>
      <c r="K101" s="18">
        <v>16.6</v>
      </c>
    </row>
    <row r="102" ht="14.25" customHeight="1">
      <c r="A102" s="18" t="s">
        <v>199</v>
      </c>
      <c r="B102" s="18" t="s">
        <v>200</v>
      </c>
      <c r="C102" s="18">
        <v>8.4</v>
      </c>
      <c r="D102" s="18">
        <v>7.9</v>
      </c>
      <c r="E102" s="18">
        <v>7.3</v>
      </c>
      <c r="F102" s="18">
        <v>6.7</v>
      </c>
      <c r="G102" s="18">
        <v>6.0</v>
      </c>
      <c r="H102" s="18">
        <v>5.9</v>
      </c>
      <c r="I102" s="18">
        <v>6.0</v>
      </c>
      <c r="J102" s="18">
        <v>6.1</v>
      </c>
      <c r="K102" s="18">
        <v>5.9</v>
      </c>
    </row>
    <row r="103" ht="14.25" customHeight="1">
      <c r="A103" s="18" t="s">
        <v>201</v>
      </c>
      <c r="B103" s="18" t="s">
        <v>202</v>
      </c>
      <c r="C103" s="18">
        <v>6.3</v>
      </c>
      <c r="D103" s="18">
        <v>6.3</v>
      </c>
      <c r="E103" s="18">
        <v>6.3</v>
      </c>
      <c r="F103" s="18">
        <v>6.8</v>
      </c>
      <c r="G103" s="18">
        <v>7.2</v>
      </c>
      <c r="H103" s="18">
        <v>7.2</v>
      </c>
      <c r="I103" s="18">
        <v>7.0</v>
      </c>
      <c r="J103" s="18">
        <v>6.2</v>
      </c>
      <c r="K103" s="18">
        <v>6.1</v>
      </c>
    </row>
    <row r="104" ht="14.25" customHeight="1">
      <c r="A104" s="18" t="s">
        <v>203</v>
      </c>
      <c r="B104" s="18" t="s">
        <v>204</v>
      </c>
      <c r="C104" s="18">
        <v>16.4</v>
      </c>
      <c r="D104" s="18">
        <v>16.8</v>
      </c>
      <c r="E104" s="18">
        <v>17.3</v>
      </c>
      <c r="F104" s="18">
        <v>17.6</v>
      </c>
      <c r="G104" s="18">
        <v>17.5</v>
      </c>
      <c r="H104" s="18">
        <v>17.2</v>
      </c>
      <c r="I104" s="18">
        <v>16.9</v>
      </c>
      <c r="J104" s="18">
        <v>16.4</v>
      </c>
      <c r="K104" s="18">
        <v>16.3</v>
      </c>
    </row>
    <row r="105" ht="14.25" customHeight="1">
      <c r="A105" s="18" t="s">
        <v>205</v>
      </c>
      <c r="B105" s="18" t="s">
        <v>206</v>
      </c>
      <c r="C105" s="18">
        <v>2.5</v>
      </c>
      <c r="D105" s="18">
        <v>2.5</v>
      </c>
      <c r="E105" s="18">
        <v>2.5</v>
      </c>
      <c r="F105" s="18">
        <v>2.5</v>
      </c>
      <c r="G105" s="18">
        <v>2.5</v>
      </c>
      <c r="H105" s="18">
        <v>2.5</v>
      </c>
      <c r="I105" s="18">
        <v>2.5</v>
      </c>
      <c r="J105" s="18">
        <v>2.5</v>
      </c>
      <c r="K105" s="18">
        <v>2.5</v>
      </c>
    </row>
    <row r="106" ht="14.25" customHeight="1">
      <c r="A106" s="18" t="s">
        <v>207</v>
      </c>
      <c r="B106" s="18" t="s">
        <v>208</v>
      </c>
      <c r="C106" s="18"/>
      <c r="D106" s="18"/>
      <c r="E106" s="18"/>
      <c r="F106" s="18"/>
      <c r="G106" s="18"/>
      <c r="H106" s="18"/>
      <c r="I106" s="18"/>
      <c r="J106" s="18"/>
      <c r="K106" s="18"/>
    </row>
    <row r="107" ht="14.25" customHeight="1">
      <c r="A107" s="18" t="s">
        <v>209</v>
      </c>
      <c r="B107" s="18" t="s">
        <v>210</v>
      </c>
      <c r="C107" s="18">
        <v>2.5</v>
      </c>
      <c r="D107" s="18">
        <v>2.5</v>
      </c>
      <c r="E107" s="18">
        <v>2.5</v>
      </c>
      <c r="F107" s="18">
        <v>2.5</v>
      </c>
      <c r="G107" s="18">
        <v>2.5</v>
      </c>
      <c r="H107" s="18">
        <v>2.5</v>
      </c>
      <c r="I107" s="18">
        <v>2.5</v>
      </c>
      <c r="J107" s="18">
        <v>2.5</v>
      </c>
      <c r="K107" s="18">
        <v>2.5</v>
      </c>
    </row>
    <row r="108" ht="14.25" customHeight="1">
      <c r="A108" s="18" t="s">
        <v>211</v>
      </c>
      <c r="B108" s="18" t="s">
        <v>212</v>
      </c>
      <c r="C108" s="18">
        <v>2.5</v>
      </c>
      <c r="D108" s="18">
        <v>2.5</v>
      </c>
      <c r="E108" s="18">
        <v>2.5</v>
      </c>
      <c r="F108" s="18">
        <v>2.5</v>
      </c>
      <c r="G108" s="18">
        <v>2.5</v>
      </c>
      <c r="H108" s="18">
        <v>2.5</v>
      </c>
      <c r="I108" s="18">
        <v>2.5</v>
      </c>
      <c r="J108" s="18">
        <v>2.5</v>
      </c>
      <c r="K108" s="18">
        <v>2.5</v>
      </c>
    </row>
    <row r="109" ht="14.25" customHeight="1">
      <c r="A109" s="18" t="s">
        <v>213</v>
      </c>
      <c r="B109" s="18" t="s">
        <v>214</v>
      </c>
      <c r="C109" s="18">
        <v>7.9</v>
      </c>
      <c r="D109" s="18">
        <v>7.6</v>
      </c>
      <c r="E109" s="18">
        <v>8.0</v>
      </c>
      <c r="F109" s="18">
        <v>7.7</v>
      </c>
      <c r="G109" s="18">
        <v>7.3</v>
      </c>
      <c r="H109" s="18">
        <v>6.3</v>
      </c>
      <c r="I109" s="18">
        <v>6.6</v>
      </c>
      <c r="J109" s="18">
        <v>7.5</v>
      </c>
      <c r="K109" s="18">
        <v>8.3</v>
      </c>
    </row>
    <row r="110" ht="14.25" customHeight="1">
      <c r="A110" s="18" t="s">
        <v>215</v>
      </c>
      <c r="B110" s="18" t="s">
        <v>216</v>
      </c>
      <c r="C110" s="18">
        <v>2.5</v>
      </c>
      <c r="D110" s="18">
        <v>2.5</v>
      </c>
      <c r="E110" s="18">
        <v>2.5</v>
      </c>
      <c r="F110" s="18">
        <v>2.5</v>
      </c>
      <c r="G110" s="18">
        <v>2.5</v>
      </c>
      <c r="H110" s="18">
        <v>2.5</v>
      </c>
      <c r="I110" s="18">
        <v>2.5</v>
      </c>
      <c r="J110" s="18">
        <v>2.7</v>
      </c>
      <c r="K110" s="18">
        <v>3.2</v>
      </c>
    </row>
    <row r="111" ht="14.25" customHeight="1">
      <c r="A111" s="18" t="s">
        <v>217</v>
      </c>
      <c r="B111" s="18" t="s">
        <v>218</v>
      </c>
      <c r="C111" s="18"/>
      <c r="D111" s="18"/>
      <c r="E111" s="18"/>
      <c r="F111" s="18"/>
      <c r="G111" s="18"/>
      <c r="H111" s="18"/>
      <c r="I111" s="18"/>
      <c r="J111" s="18"/>
      <c r="K111" s="18"/>
    </row>
    <row r="112" ht="14.25" customHeight="1">
      <c r="A112" s="18" t="s">
        <v>219</v>
      </c>
      <c r="B112" s="18" t="s">
        <v>220</v>
      </c>
      <c r="C112" s="18">
        <v>2.5</v>
      </c>
      <c r="D112" s="18">
        <v>2.5</v>
      </c>
      <c r="E112" s="18">
        <v>2.5</v>
      </c>
      <c r="F112" s="18">
        <v>2.5</v>
      </c>
      <c r="G112" s="18">
        <v>2.5</v>
      </c>
      <c r="H112" s="18">
        <v>2.5</v>
      </c>
      <c r="I112" s="18">
        <v>2.5</v>
      </c>
      <c r="J112" s="18">
        <v>2.5</v>
      </c>
      <c r="K112" s="18">
        <v>2.5</v>
      </c>
    </row>
    <row r="113" ht="14.25" customHeight="1">
      <c r="A113" s="18" t="s">
        <v>221</v>
      </c>
      <c r="B113" s="18" t="s">
        <v>222</v>
      </c>
      <c r="C113" s="18">
        <v>18.1</v>
      </c>
      <c r="D113" s="18">
        <v>18.3</v>
      </c>
      <c r="E113" s="18">
        <v>20.0</v>
      </c>
      <c r="F113" s="18">
        <v>21.5</v>
      </c>
      <c r="G113" s="18">
        <v>22.8</v>
      </c>
      <c r="H113" s="18">
        <v>22.2</v>
      </c>
      <c r="I113" s="18">
        <v>23.0</v>
      </c>
      <c r="J113" s="18">
        <v>24.7</v>
      </c>
      <c r="K113" s="18">
        <v>27.8</v>
      </c>
    </row>
    <row r="114" ht="14.25" customHeight="1">
      <c r="A114" s="18" t="s">
        <v>223</v>
      </c>
      <c r="B114" s="18" t="s">
        <v>224</v>
      </c>
      <c r="C114" s="18">
        <v>12.6</v>
      </c>
      <c r="D114" s="18">
        <v>11.4</v>
      </c>
      <c r="E114" s="18">
        <v>10.9</v>
      </c>
      <c r="F114" s="18">
        <v>10.9</v>
      </c>
      <c r="G114" s="18">
        <v>10.9</v>
      </c>
      <c r="H114" s="18">
        <v>11.5</v>
      </c>
      <c r="I114" s="18">
        <v>12.2</v>
      </c>
      <c r="J114" s="18">
        <v>12.1</v>
      </c>
      <c r="K114" s="18">
        <v>12.1</v>
      </c>
    </row>
    <row r="115" ht="14.25" customHeight="1">
      <c r="A115" s="18" t="s">
        <v>225</v>
      </c>
      <c r="B115" s="18" t="s">
        <v>226</v>
      </c>
      <c r="C115" s="18">
        <v>2.5</v>
      </c>
      <c r="D115" s="18">
        <v>2.5</v>
      </c>
      <c r="E115" s="18">
        <v>2.5</v>
      </c>
      <c r="F115" s="18">
        <v>2.5</v>
      </c>
      <c r="G115" s="18">
        <v>2.5</v>
      </c>
      <c r="H115" s="18">
        <v>2.6</v>
      </c>
      <c r="I115" s="18">
        <v>2.6</v>
      </c>
      <c r="J115" s="18">
        <v>2.5</v>
      </c>
      <c r="K115" s="18">
        <v>2.5</v>
      </c>
    </row>
    <row r="116" ht="14.25" customHeight="1">
      <c r="A116" s="18" t="s">
        <v>227</v>
      </c>
      <c r="B116" s="18" t="s">
        <v>228</v>
      </c>
      <c r="C116" s="18">
        <v>5.9</v>
      </c>
      <c r="D116" s="18">
        <v>5.7</v>
      </c>
      <c r="E116" s="18">
        <v>5.8</v>
      </c>
      <c r="F116" s="18">
        <v>5.5</v>
      </c>
      <c r="G116" s="18">
        <v>5.1</v>
      </c>
      <c r="H116" s="18">
        <v>4.5</v>
      </c>
      <c r="I116" s="18">
        <v>4.5</v>
      </c>
      <c r="J116" s="18">
        <v>4.6</v>
      </c>
      <c r="K116" s="18">
        <v>4.8</v>
      </c>
    </row>
    <row r="117" ht="14.25" customHeight="1">
      <c r="A117" s="18" t="s">
        <v>229</v>
      </c>
      <c r="B117" s="18" t="s">
        <v>230</v>
      </c>
      <c r="C117" s="18">
        <v>10.3</v>
      </c>
      <c r="D117" s="18">
        <v>8.1</v>
      </c>
      <c r="E117" s="18">
        <v>6.7</v>
      </c>
      <c r="F117" s="18">
        <v>5.9</v>
      </c>
      <c r="G117" s="18">
        <v>5.6</v>
      </c>
      <c r="H117" s="18">
        <v>5.3</v>
      </c>
      <c r="I117" s="18">
        <v>5.4</v>
      </c>
      <c r="J117" s="18">
        <v>5.2</v>
      </c>
      <c r="K117" s="18">
        <v>4.7</v>
      </c>
    </row>
    <row r="118" ht="14.25" customHeight="1">
      <c r="A118" s="18" t="s">
        <v>231</v>
      </c>
      <c r="B118" s="18" t="s">
        <v>232</v>
      </c>
      <c r="C118" s="18">
        <v>2.5</v>
      </c>
      <c r="D118" s="18">
        <v>2.5</v>
      </c>
      <c r="E118" s="18">
        <v>2.5</v>
      </c>
      <c r="F118" s="18">
        <v>2.5</v>
      </c>
      <c r="G118" s="18">
        <v>2.5</v>
      </c>
      <c r="H118" s="18">
        <v>2.5</v>
      </c>
      <c r="I118" s="18">
        <v>2.5</v>
      </c>
      <c r="J118" s="18">
        <v>2.5</v>
      </c>
      <c r="K118" s="18">
        <v>2.5</v>
      </c>
    </row>
    <row r="119" ht="14.25" customHeight="1">
      <c r="A119" s="18" t="s">
        <v>233</v>
      </c>
      <c r="B119" s="18" t="s">
        <v>234</v>
      </c>
      <c r="C119" s="18"/>
      <c r="D119" s="18"/>
      <c r="E119" s="18"/>
      <c r="F119" s="18"/>
      <c r="G119" s="18"/>
      <c r="H119" s="18"/>
      <c r="I119" s="18"/>
      <c r="J119" s="18"/>
      <c r="K119" s="18"/>
    </row>
    <row r="120" ht="14.25" customHeight="1">
      <c r="A120" s="18" t="s">
        <v>235</v>
      </c>
      <c r="B120" s="18" t="s">
        <v>236</v>
      </c>
      <c r="C120" s="18">
        <v>20.0</v>
      </c>
      <c r="D120" s="18">
        <v>27.2</v>
      </c>
      <c r="E120" s="18">
        <v>31.9</v>
      </c>
      <c r="F120" s="18">
        <v>34.0</v>
      </c>
      <c r="G120" s="18">
        <v>31.6</v>
      </c>
      <c r="H120" s="18">
        <v>33.0</v>
      </c>
      <c r="I120" s="18">
        <v>38.1</v>
      </c>
      <c r="J120" s="18">
        <v>43.7</v>
      </c>
      <c r="K120" s="18">
        <v>46.0</v>
      </c>
    </row>
    <row r="121" ht="14.25" customHeight="1">
      <c r="A121" s="18" t="s">
        <v>237</v>
      </c>
      <c r="B121" s="18" t="s">
        <v>238</v>
      </c>
      <c r="C121" s="18">
        <v>36.6</v>
      </c>
      <c r="D121" s="18">
        <v>36.8</v>
      </c>
      <c r="E121" s="18">
        <v>35.9</v>
      </c>
      <c r="F121" s="18">
        <v>35.3</v>
      </c>
      <c r="G121" s="18">
        <v>35.1</v>
      </c>
      <c r="H121" s="18">
        <v>35.6</v>
      </c>
      <c r="I121" s="18">
        <v>36.9</v>
      </c>
      <c r="J121" s="18">
        <v>37.8</v>
      </c>
      <c r="K121" s="18">
        <v>38.4</v>
      </c>
    </row>
    <row r="122" ht="14.25" customHeight="1">
      <c r="A122" s="18" t="s">
        <v>239</v>
      </c>
      <c r="B122" s="18" t="s">
        <v>240</v>
      </c>
      <c r="C122" s="18">
        <v>4.8</v>
      </c>
      <c r="D122" s="18">
        <v>5.4</v>
      </c>
      <c r="E122" s="18">
        <v>6.1</v>
      </c>
      <c r="F122" s="18">
        <v>6.6</v>
      </c>
      <c r="G122" s="18">
        <v>6.9</v>
      </c>
      <c r="H122" s="18">
        <v>7.1</v>
      </c>
      <c r="I122" s="18">
        <v>7.7</v>
      </c>
      <c r="J122" s="18">
        <v>7.9</v>
      </c>
      <c r="K122" s="18">
        <v>8.4</v>
      </c>
    </row>
    <row r="123" ht="14.25" customHeight="1">
      <c r="A123" s="18" t="s">
        <v>241</v>
      </c>
      <c r="B123" s="18" t="s">
        <v>242</v>
      </c>
      <c r="C123" s="18"/>
      <c r="D123" s="18"/>
      <c r="E123" s="18"/>
      <c r="F123" s="18"/>
      <c r="G123" s="18"/>
      <c r="H123" s="18"/>
      <c r="I123" s="18"/>
      <c r="J123" s="18"/>
      <c r="K123" s="18"/>
    </row>
    <row r="124" ht="14.25" customHeight="1">
      <c r="A124" s="18" t="s">
        <v>243</v>
      </c>
      <c r="B124" s="18" t="s">
        <v>244</v>
      </c>
      <c r="C124" s="18">
        <v>2.5</v>
      </c>
      <c r="D124" s="18">
        <v>2.5</v>
      </c>
      <c r="E124" s="18">
        <v>2.5</v>
      </c>
      <c r="F124" s="18">
        <v>2.5</v>
      </c>
      <c r="G124" s="18">
        <v>2.5</v>
      </c>
      <c r="H124" s="18">
        <v>2.5</v>
      </c>
      <c r="I124" s="18">
        <v>2.5</v>
      </c>
      <c r="J124" s="18">
        <v>2.5</v>
      </c>
      <c r="K124" s="18">
        <v>2.5</v>
      </c>
    </row>
    <row r="125" ht="14.25" customHeight="1">
      <c r="A125" s="18" t="s">
        <v>245</v>
      </c>
      <c r="B125" s="18" t="s">
        <v>246</v>
      </c>
      <c r="C125" s="18">
        <v>2.5</v>
      </c>
      <c r="D125" s="18">
        <v>2.5</v>
      </c>
      <c r="E125" s="18">
        <v>2.5</v>
      </c>
      <c r="F125" s="18">
        <v>2.5</v>
      </c>
      <c r="G125" s="18">
        <v>2.5</v>
      </c>
      <c r="H125" s="18">
        <v>2.5</v>
      </c>
      <c r="I125" s="18">
        <v>2.5</v>
      </c>
      <c r="J125" s="18">
        <v>2.5</v>
      </c>
      <c r="K125" s="18">
        <v>2.5</v>
      </c>
    </row>
    <row r="126" ht="14.25" customHeight="1">
      <c r="A126" s="18" t="s">
        <v>247</v>
      </c>
      <c r="B126" s="18" t="s">
        <v>248</v>
      </c>
      <c r="C126" s="18">
        <v>33.0</v>
      </c>
      <c r="D126" s="18">
        <v>37.7</v>
      </c>
      <c r="E126" s="18">
        <v>40.4</v>
      </c>
      <c r="F126" s="18">
        <v>41.9</v>
      </c>
      <c r="G126" s="18">
        <v>42.8</v>
      </c>
      <c r="H126" s="18">
        <v>44.7</v>
      </c>
      <c r="I126" s="18">
        <v>47.1</v>
      </c>
      <c r="J126" s="18">
        <v>49.5</v>
      </c>
      <c r="K126" s="18">
        <v>51.0</v>
      </c>
    </row>
    <row r="127" ht="14.25" customHeight="1">
      <c r="A127" s="18" t="s">
        <v>249</v>
      </c>
      <c r="B127" s="18" t="s">
        <v>250</v>
      </c>
      <c r="C127" s="18">
        <v>12.9</v>
      </c>
      <c r="D127" s="18">
        <v>13.3</v>
      </c>
      <c r="E127" s="18">
        <v>13.9</v>
      </c>
      <c r="F127" s="18">
        <v>14.3</v>
      </c>
      <c r="G127" s="18">
        <v>15.1</v>
      </c>
      <c r="H127" s="18">
        <v>15.7</v>
      </c>
      <c r="I127" s="18">
        <v>16.5</v>
      </c>
      <c r="J127" s="18">
        <v>17.2</v>
      </c>
      <c r="K127" s="18">
        <v>17.8</v>
      </c>
    </row>
    <row r="128" ht="14.25" customHeight="1">
      <c r="A128" s="18" t="s">
        <v>251</v>
      </c>
      <c r="B128" s="18" t="s">
        <v>252</v>
      </c>
      <c r="C128" s="18">
        <v>5.6</v>
      </c>
      <c r="D128" s="18">
        <v>5.9</v>
      </c>
      <c r="E128" s="18">
        <v>6.1</v>
      </c>
      <c r="F128" s="18">
        <v>5.7</v>
      </c>
      <c r="G128" s="18">
        <v>5.2</v>
      </c>
      <c r="H128" s="18">
        <v>4.4</v>
      </c>
      <c r="I128" s="18">
        <v>3.8</v>
      </c>
      <c r="J128" s="18">
        <v>3.2</v>
      </c>
      <c r="K128" s="18">
        <v>2.7</v>
      </c>
    </row>
    <row r="129" ht="14.25" customHeight="1">
      <c r="A129" s="18" t="s">
        <v>253</v>
      </c>
      <c r="B129" s="18" t="s">
        <v>254</v>
      </c>
      <c r="C129" s="18"/>
      <c r="D129" s="18"/>
      <c r="E129" s="18"/>
      <c r="F129" s="18"/>
      <c r="G129" s="18"/>
      <c r="H129" s="18"/>
      <c r="I129" s="18"/>
      <c r="J129" s="18"/>
      <c r="K129" s="18"/>
    </row>
    <row r="130" ht="14.25" customHeight="1">
      <c r="A130" s="18" t="s">
        <v>255</v>
      </c>
      <c r="B130" s="18" t="s">
        <v>256</v>
      </c>
      <c r="C130" s="18">
        <v>4.4</v>
      </c>
      <c r="D130" s="18">
        <v>4.3</v>
      </c>
      <c r="E130" s="18">
        <v>4.2</v>
      </c>
      <c r="F130" s="18">
        <v>3.8</v>
      </c>
      <c r="G130" s="18">
        <v>3.9</v>
      </c>
      <c r="H130" s="18">
        <v>4.3</v>
      </c>
      <c r="I130" s="18">
        <v>6.6</v>
      </c>
      <c r="J130" s="18">
        <v>9.7</v>
      </c>
      <c r="K130" s="18">
        <v>12.8</v>
      </c>
    </row>
    <row r="131" ht="14.25" customHeight="1">
      <c r="A131" s="18" t="s">
        <v>257</v>
      </c>
      <c r="B131" s="18" t="s">
        <v>258</v>
      </c>
      <c r="C131" s="18">
        <v>2.5</v>
      </c>
      <c r="D131" s="18">
        <v>2.5</v>
      </c>
      <c r="E131" s="18">
        <v>2.5</v>
      </c>
      <c r="F131" s="18">
        <v>2.5</v>
      </c>
      <c r="G131" s="18">
        <v>2.5</v>
      </c>
      <c r="H131" s="18">
        <v>2.5</v>
      </c>
      <c r="I131" s="18">
        <v>2.8</v>
      </c>
      <c r="J131" s="18">
        <v>3.7</v>
      </c>
      <c r="K131" s="18">
        <v>4.6</v>
      </c>
    </row>
    <row r="132" ht="14.25" customHeight="1">
      <c r="A132" s="18" t="s">
        <v>259</v>
      </c>
      <c r="B132" s="18" t="s">
        <v>260</v>
      </c>
      <c r="C132" s="18"/>
      <c r="D132" s="18"/>
      <c r="E132" s="18"/>
      <c r="F132" s="18"/>
      <c r="G132" s="18"/>
      <c r="H132" s="18"/>
      <c r="I132" s="18"/>
      <c r="J132" s="18"/>
      <c r="K132" s="18"/>
    </row>
    <row r="133" ht="14.25" customHeight="1">
      <c r="A133" s="18" t="s">
        <v>261</v>
      </c>
      <c r="B133" s="18" t="s">
        <v>262</v>
      </c>
      <c r="C133" s="18"/>
      <c r="D133" s="18"/>
      <c r="E133" s="18"/>
      <c r="F133" s="18"/>
      <c r="G133" s="18"/>
      <c r="H133" s="18"/>
      <c r="I133" s="18"/>
      <c r="J133" s="18"/>
      <c r="K133" s="18"/>
    </row>
    <row r="134" ht="14.25" customHeight="1">
      <c r="A134" s="18" t="s">
        <v>263</v>
      </c>
      <c r="B134" s="18" t="s">
        <v>264</v>
      </c>
      <c r="C134" s="18">
        <v>6.2</v>
      </c>
      <c r="D134" s="18">
        <v>6.5</v>
      </c>
      <c r="E134" s="18">
        <v>6.8</v>
      </c>
      <c r="F134" s="18">
        <v>7.0</v>
      </c>
      <c r="G134" s="18">
        <v>7.0</v>
      </c>
      <c r="H134" s="18">
        <v>6.9</v>
      </c>
      <c r="I134" s="18">
        <v>7.0</v>
      </c>
      <c r="J134" s="18">
        <v>7.5</v>
      </c>
      <c r="K134" s="18">
        <v>8.7</v>
      </c>
    </row>
    <row r="135" ht="14.25" customHeight="1">
      <c r="A135" s="18" t="s">
        <v>265</v>
      </c>
      <c r="B135" s="18" t="s">
        <v>266</v>
      </c>
      <c r="C135" s="18">
        <v>5.6</v>
      </c>
      <c r="D135" s="18">
        <v>5.7</v>
      </c>
      <c r="E135" s="18">
        <v>5.9</v>
      </c>
      <c r="F135" s="18">
        <v>6.1</v>
      </c>
      <c r="G135" s="18">
        <v>6.2</v>
      </c>
      <c r="H135" s="18">
        <v>5.9</v>
      </c>
      <c r="I135" s="18">
        <v>6.6</v>
      </c>
      <c r="J135" s="18">
        <v>6.9</v>
      </c>
      <c r="K135" s="18">
        <v>6.8</v>
      </c>
    </row>
    <row r="136" ht="14.25" customHeight="1">
      <c r="A136" s="18" t="s">
        <v>267</v>
      </c>
      <c r="B136" s="18" t="s">
        <v>268</v>
      </c>
      <c r="C136" s="18"/>
      <c r="D136" s="18"/>
      <c r="E136" s="18"/>
      <c r="F136" s="18"/>
      <c r="G136" s="18"/>
      <c r="H136" s="18"/>
      <c r="I136" s="18"/>
      <c r="J136" s="18"/>
      <c r="K136" s="18"/>
    </row>
    <row r="137" ht="14.25" customHeight="1">
      <c r="A137" s="18" t="s">
        <v>269</v>
      </c>
      <c r="B137" s="18" t="s">
        <v>270</v>
      </c>
      <c r="C137" s="18">
        <v>4.0</v>
      </c>
      <c r="D137" s="18">
        <v>4.0</v>
      </c>
      <c r="E137" s="18">
        <v>3.9</v>
      </c>
      <c r="F137" s="18">
        <v>3.8</v>
      </c>
      <c r="G137" s="18">
        <v>3.8</v>
      </c>
      <c r="H137" s="18">
        <v>3.4</v>
      </c>
      <c r="I137" s="18">
        <v>2.8</v>
      </c>
      <c r="J137" s="18">
        <v>2.5</v>
      </c>
      <c r="K137" s="18">
        <v>2.5</v>
      </c>
    </row>
    <row r="138" ht="14.25" customHeight="1">
      <c r="A138" s="18" t="s">
        <v>271</v>
      </c>
      <c r="B138" s="18" t="s">
        <v>272</v>
      </c>
      <c r="C138" s="18"/>
      <c r="D138" s="18"/>
      <c r="E138" s="18"/>
      <c r="F138" s="18"/>
      <c r="G138" s="18"/>
      <c r="H138" s="18"/>
      <c r="I138" s="18"/>
      <c r="J138" s="18"/>
      <c r="K138" s="18"/>
    </row>
    <row r="139" ht="14.25" customHeight="1">
      <c r="A139" s="18" t="s">
        <v>273</v>
      </c>
      <c r="B139" s="18" t="s">
        <v>274</v>
      </c>
      <c r="C139" s="18"/>
      <c r="D139" s="18"/>
      <c r="E139" s="18"/>
      <c r="F139" s="18"/>
      <c r="G139" s="18"/>
      <c r="H139" s="18"/>
      <c r="I139" s="18"/>
      <c r="J139" s="18"/>
      <c r="K139" s="18"/>
    </row>
    <row r="140" ht="14.25" customHeight="1">
      <c r="A140" s="18" t="s">
        <v>275</v>
      </c>
      <c r="B140" s="18" t="s">
        <v>276</v>
      </c>
      <c r="C140" s="18">
        <v>10.6</v>
      </c>
      <c r="D140" s="18">
        <v>9.3</v>
      </c>
      <c r="E140" s="18">
        <v>7.6</v>
      </c>
      <c r="F140" s="18">
        <v>6.8</v>
      </c>
      <c r="G140" s="18">
        <v>5.9</v>
      </c>
      <c r="H140" s="18">
        <v>5.7</v>
      </c>
      <c r="I140" s="18">
        <v>5.1</v>
      </c>
      <c r="J140" s="18">
        <v>6.6</v>
      </c>
      <c r="K140" s="18">
        <v>8.0</v>
      </c>
    </row>
    <row r="141" ht="14.25" customHeight="1">
      <c r="A141" s="18" t="s">
        <v>277</v>
      </c>
      <c r="B141" s="18" t="s">
        <v>278</v>
      </c>
      <c r="C141" s="18">
        <v>2.5</v>
      </c>
      <c r="D141" s="18">
        <v>2.5</v>
      </c>
      <c r="E141" s="18">
        <v>2.5</v>
      </c>
      <c r="F141" s="18">
        <v>2.5</v>
      </c>
      <c r="G141" s="18">
        <v>2.5</v>
      </c>
      <c r="H141" s="18">
        <v>2.5</v>
      </c>
      <c r="I141" s="18">
        <v>2.5</v>
      </c>
      <c r="J141" s="18">
        <v>2.5</v>
      </c>
      <c r="K141" s="18">
        <v>2.5</v>
      </c>
    </row>
    <row r="142" ht="14.25" customHeight="1">
      <c r="A142" s="18" t="s">
        <v>279</v>
      </c>
      <c r="B142" s="18" t="s">
        <v>280</v>
      </c>
      <c r="C142" s="18"/>
      <c r="D142" s="18"/>
      <c r="E142" s="18"/>
      <c r="F142" s="18"/>
      <c r="G142" s="18"/>
      <c r="H142" s="18"/>
      <c r="I142" s="18"/>
      <c r="J142" s="18"/>
      <c r="K142" s="18"/>
    </row>
    <row r="143" ht="14.25" customHeight="1">
      <c r="A143" s="18" t="s">
        <v>281</v>
      </c>
      <c r="B143" s="18" t="s">
        <v>282</v>
      </c>
      <c r="C143" s="18">
        <v>4.1</v>
      </c>
      <c r="D143" s="18">
        <v>4.0</v>
      </c>
      <c r="E143" s="18">
        <v>3.8</v>
      </c>
      <c r="F143" s="18">
        <v>3.7</v>
      </c>
      <c r="G143" s="18">
        <v>3.6</v>
      </c>
      <c r="H143" s="18">
        <v>3.6</v>
      </c>
      <c r="I143" s="18">
        <v>4.2</v>
      </c>
      <c r="J143" s="18">
        <v>5.3</v>
      </c>
      <c r="K143" s="18">
        <v>6.3</v>
      </c>
    </row>
    <row r="144" ht="14.25" customHeight="1">
      <c r="A144" s="18" t="s">
        <v>283</v>
      </c>
      <c r="B144" s="18" t="s">
        <v>284</v>
      </c>
      <c r="C144" s="18">
        <v>23.5</v>
      </c>
      <c r="D144" s="18">
        <v>31.2</v>
      </c>
      <c r="E144" s="18">
        <v>39.5</v>
      </c>
      <c r="F144" s="18">
        <v>40.7</v>
      </c>
      <c r="G144" s="18">
        <v>35.5</v>
      </c>
      <c r="H144" s="18">
        <v>29.5</v>
      </c>
      <c r="I144" s="18">
        <v>27.0</v>
      </c>
      <c r="J144" s="18">
        <v>29.5</v>
      </c>
      <c r="K144" s="18">
        <v>30.5</v>
      </c>
    </row>
    <row r="145" ht="14.25" customHeight="1">
      <c r="A145" s="18" t="s">
        <v>285</v>
      </c>
      <c r="B145" s="18" t="s">
        <v>286</v>
      </c>
      <c r="C145" s="18">
        <v>5.9</v>
      </c>
      <c r="D145" s="18">
        <v>5.0</v>
      </c>
      <c r="E145" s="18">
        <v>4.1</v>
      </c>
      <c r="F145" s="18">
        <v>3.4</v>
      </c>
      <c r="G145" s="18">
        <v>3.1</v>
      </c>
      <c r="H145" s="18">
        <v>3.0</v>
      </c>
      <c r="I145" s="18">
        <v>2.9</v>
      </c>
      <c r="J145" s="18">
        <v>3.4</v>
      </c>
      <c r="K145" s="18">
        <v>3.8</v>
      </c>
    </row>
    <row r="146" ht="14.25" customHeight="1">
      <c r="A146" s="18" t="s">
        <v>287</v>
      </c>
      <c r="B146" s="18" t="s">
        <v>288</v>
      </c>
      <c r="C146" s="18">
        <v>21.8</v>
      </c>
      <c r="D146" s="18">
        <v>21.0</v>
      </c>
      <c r="E146" s="18">
        <v>20.3</v>
      </c>
      <c r="F146" s="18">
        <v>19.3</v>
      </c>
      <c r="G146" s="18">
        <v>18.9</v>
      </c>
      <c r="H146" s="18">
        <v>18.2</v>
      </c>
      <c r="I146" s="18">
        <v>17.6</v>
      </c>
      <c r="J146" s="18">
        <v>17.1</v>
      </c>
      <c r="K146" s="18">
        <v>17.1</v>
      </c>
    </row>
    <row r="147" ht="14.25" customHeight="1">
      <c r="A147" s="18" t="s">
        <v>289</v>
      </c>
      <c r="B147" s="18" t="s">
        <v>290</v>
      </c>
      <c r="C147" s="18"/>
      <c r="D147" s="18"/>
      <c r="E147" s="18"/>
      <c r="F147" s="18"/>
      <c r="G147" s="18"/>
      <c r="H147" s="18"/>
      <c r="I147" s="18"/>
      <c r="J147" s="18"/>
      <c r="K147" s="18"/>
    </row>
    <row r="148" ht="14.25" customHeight="1">
      <c r="A148" s="18" t="s">
        <v>291</v>
      </c>
      <c r="B148" s="18" t="s">
        <v>292</v>
      </c>
      <c r="C148" s="18">
        <v>7.7</v>
      </c>
      <c r="D148" s="18">
        <v>7.2</v>
      </c>
      <c r="E148" s="18">
        <v>6.3</v>
      </c>
      <c r="F148" s="18">
        <v>5.4</v>
      </c>
      <c r="G148" s="18">
        <v>4.8</v>
      </c>
      <c r="H148" s="18">
        <v>4.7</v>
      </c>
      <c r="I148" s="18">
        <v>4.9</v>
      </c>
      <c r="J148" s="18">
        <v>5.2</v>
      </c>
      <c r="K148" s="18">
        <v>5.4</v>
      </c>
    </row>
    <row r="149" ht="14.25" customHeight="1">
      <c r="A149" s="18" t="s">
        <v>293</v>
      </c>
      <c r="B149" s="18" t="s">
        <v>294</v>
      </c>
      <c r="C149" s="18">
        <v>2.5</v>
      </c>
      <c r="D149" s="18">
        <v>2.5</v>
      </c>
      <c r="E149" s="18">
        <v>2.5</v>
      </c>
      <c r="F149" s="18">
        <v>2.5</v>
      </c>
      <c r="G149" s="18">
        <v>2.5</v>
      </c>
      <c r="H149" s="18">
        <v>2.5</v>
      </c>
      <c r="I149" s="18">
        <v>2.5</v>
      </c>
      <c r="J149" s="18">
        <v>2.5</v>
      </c>
      <c r="K149" s="18">
        <v>2.5</v>
      </c>
    </row>
    <row r="150" ht="14.25" customHeight="1">
      <c r="A150" s="18" t="s">
        <v>295</v>
      </c>
      <c r="B150" s="18" t="s">
        <v>296</v>
      </c>
      <c r="C150" s="18">
        <v>7.9</v>
      </c>
      <c r="D150" s="18">
        <v>7.7</v>
      </c>
      <c r="E150" s="18">
        <v>7.5</v>
      </c>
      <c r="F150" s="18">
        <v>7.3</v>
      </c>
      <c r="G150" s="18">
        <v>7.0</v>
      </c>
      <c r="H150" s="18">
        <v>6.5</v>
      </c>
      <c r="I150" s="18">
        <v>5.9</v>
      </c>
      <c r="J150" s="18">
        <v>5.0</v>
      </c>
      <c r="K150" s="18">
        <v>4.8</v>
      </c>
    </row>
    <row r="151" ht="14.25" customHeight="1">
      <c r="A151" s="18" t="s">
        <v>297</v>
      </c>
      <c r="B151" s="18" t="s">
        <v>298</v>
      </c>
      <c r="C151" s="18">
        <v>2.5</v>
      </c>
      <c r="D151" s="18">
        <v>2.5</v>
      </c>
      <c r="E151" s="18">
        <v>2.5</v>
      </c>
      <c r="F151" s="18">
        <v>2.5</v>
      </c>
      <c r="G151" s="18">
        <v>2.5</v>
      </c>
      <c r="H151" s="18">
        <v>2.5</v>
      </c>
      <c r="I151" s="18">
        <v>2.5</v>
      </c>
      <c r="J151" s="18">
        <v>2.5</v>
      </c>
      <c r="K151" s="18">
        <v>2.5</v>
      </c>
    </row>
    <row r="152" ht="14.25" customHeight="1">
      <c r="A152" s="18" t="s">
        <v>299</v>
      </c>
      <c r="B152" s="18" t="s">
        <v>300</v>
      </c>
      <c r="C152" s="18">
        <v>19.4</v>
      </c>
      <c r="D152" s="18">
        <v>19.8</v>
      </c>
      <c r="E152" s="18">
        <v>19.3</v>
      </c>
      <c r="F152" s="18">
        <v>18.3</v>
      </c>
      <c r="G152" s="18">
        <v>17.6</v>
      </c>
      <c r="H152" s="18">
        <v>17.4</v>
      </c>
      <c r="I152" s="18">
        <v>17.5</v>
      </c>
      <c r="J152" s="18">
        <v>17.9</v>
      </c>
      <c r="K152" s="18">
        <v>17.8</v>
      </c>
    </row>
    <row r="153" ht="14.25" customHeight="1">
      <c r="A153" s="18" t="s">
        <v>301</v>
      </c>
      <c r="B153" s="18" t="s">
        <v>302</v>
      </c>
      <c r="C153" s="18">
        <v>14.1</v>
      </c>
      <c r="D153" s="18">
        <v>13.3</v>
      </c>
      <c r="E153" s="18">
        <v>12.4</v>
      </c>
      <c r="F153" s="18">
        <v>11.7</v>
      </c>
      <c r="G153" s="18">
        <v>10.9</v>
      </c>
      <c r="H153" s="18">
        <v>11.0</v>
      </c>
      <c r="I153" s="18">
        <v>11.9</v>
      </c>
      <c r="J153" s="18">
        <v>14.2</v>
      </c>
      <c r="K153" s="18">
        <v>16.1</v>
      </c>
    </row>
    <row r="154" ht="14.25" customHeight="1">
      <c r="A154" s="18" t="s">
        <v>303</v>
      </c>
      <c r="B154" s="18" t="s">
        <v>304</v>
      </c>
      <c r="C154" s="18">
        <v>9.6</v>
      </c>
      <c r="D154" s="18">
        <v>9.5</v>
      </c>
      <c r="E154" s="18">
        <v>9.3</v>
      </c>
      <c r="F154" s="18">
        <v>9.6</v>
      </c>
      <c r="G154" s="18">
        <v>10.1</v>
      </c>
      <c r="H154" s="18">
        <v>10.6</v>
      </c>
      <c r="I154" s="18">
        <v>12.4</v>
      </c>
      <c r="J154" s="18">
        <v>14.2</v>
      </c>
      <c r="K154" s="18">
        <v>15.9</v>
      </c>
    </row>
    <row r="155" ht="14.25" customHeight="1">
      <c r="A155" s="18" t="s">
        <v>305</v>
      </c>
      <c r="B155" s="18" t="s">
        <v>306</v>
      </c>
      <c r="C155" s="18"/>
      <c r="D155" s="18"/>
      <c r="E155" s="18"/>
      <c r="F155" s="18"/>
      <c r="G155" s="18"/>
      <c r="H155" s="18"/>
      <c r="I155" s="18"/>
      <c r="J155" s="18"/>
      <c r="K155" s="18"/>
    </row>
    <row r="156" ht="14.25" customHeight="1">
      <c r="A156" s="18" t="s">
        <v>307</v>
      </c>
      <c r="B156" s="18" t="s">
        <v>308</v>
      </c>
      <c r="C156" s="18">
        <v>3.9</v>
      </c>
      <c r="D156" s="18">
        <v>3.8</v>
      </c>
      <c r="E156" s="18">
        <v>3.6</v>
      </c>
      <c r="F156" s="18">
        <v>3.3</v>
      </c>
      <c r="G156" s="18">
        <v>3.1</v>
      </c>
      <c r="H156" s="18">
        <v>2.8</v>
      </c>
      <c r="I156" s="18">
        <v>2.9</v>
      </c>
      <c r="J156" s="18">
        <v>3.2</v>
      </c>
      <c r="K156" s="18">
        <v>3.6</v>
      </c>
    </row>
    <row r="157" ht="14.25" customHeight="1">
      <c r="A157" s="18" t="s">
        <v>309</v>
      </c>
      <c r="B157" s="18" t="s">
        <v>310</v>
      </c>
      <c r="C157" s="18"/>
      <c r="D157" s="18"/>
      <c r="E157" s="18"/>
      <c r="F157" s="18"/>
      <c r="G157" s="18"/>
      <c r="H157" s="18"/>
      <c r="I157" s="18"/>
      <c r="J157" s="18"/>
      <c r="K157" s="18"/>
    </row>
    <row r="158" ht="14.25" customHeight="1">
      <c r="A158" s="18" t="s">
        <v>311</v>
      </c>
      <c r="B158" s="18" t="s">
        <v>312</v>
      </c>
      <c r="C158" s="18">
        <v>2.5</v>
      </c>
      <c r="D158" s="18">
        <v>2.5</v>
      </c>
      <c r="E158" s="18">
        <v>2.5</v>
      </c>
      <c r="F158" s="18">
        <v>2.5</v>
      </c>
      <c r="G158" s="18">
        <v>2.5</v>
      </c>
      <c r="H158" s="18">
        <v>2.5</v>
      </c>
      <c r="I158" s="18">
        <v>2.5</v>
      </c>
      <c r="J158" s="18">
        <v>2.5</v>
      </c>
      <c r="K158" s="18">
        <v>2.5</v>
      </c>
    </row>
    <row r="159" ht="14.25" customHeight="1">
      <c r="A159" s="18" t="s">
        <v>313</v>
      </c>
      <c r="B159" s="18" t="s">
        <v>314</v>
      </c>
      <c r="C159" s="18">
        <v>6.0</v>
      </c>
      <c r="D159" s="18">
        <v>6.0</v>
      </c>
      <c r="E159" s="18">
        <v>6.3</v>
      </c>
      <c r="F159" s="18">
        <v>6.3</v>
      </c>
      <c r="G159" s="18">
        <v>5.8</v>
      </c>
      <c r="H159" s="18">
        <v>4.5</v>
      </c>
      <c r="I159" s="18">
        <v>3.1</v>
      </c>
      <c r="J159" s="18">
        <v>2.7</v>
      </c>
      <c r="K159" s="18">
        <v>2.8</v>
      </c>
    </row>
    <row r="160" ht="14.25" customHeight="1">
      <c r="A160" s="18" t="s">
        <v>315</v>
      </c>
      <c r="B160" s="18" t="s">
        <v>316</v>
      </c>
      <c r="C160" s="18">
        <v>14.0</v>
      </c>
      <c r="D160" s="18">
        <v>13.3</v>
      </c>
      <c r="E160" s="18">
        <v>12.1</v>
      </c>
      <c r="F160" s="18">
        <v>11.5</v>
      </c>
      <c r="G160" s="18">
        <v>10.8</v>
      </c>
      <c r="H160" s="18">
        <v>11.0</v>
      </c>
      <c r="I160" s="18">
        <v>13.1</v>
      </c>
      <c r="J160" s="18">
        <v>16.0</v>
      </c>
      <c r="K160" s="18">
        <v>18.5</v>
      </c>
    </row>
    <row r="161" ht="14.25" customHeight="1">
      <c r="A161" s="18" t="s">
        <v>317</v>
      </c>
      <c r="B161" s="18" t="s">
        <v>318</v>
      </c>
      <c r="C161" s="18"/>
      <c r="D161" s="18"/>
      <c r="E161" s="18"/>
      <c r="F161" s="18"/>
      <c r="G161" s="18"/>
      <c r="H161" s="18"/>
      <c r="I161" s="18"/>
      <c r="J161" s="18"/>
      <c r="K161" s="18"/>
    </row>
    <row r="162" ht="14.25" customHeight="1">
      <c r="A162" s="18" t="s">
        <v>474</v>
      </c>
      <c r="B162" s="18" t="s">
        <v>400</v>
      </c>
      <c r="C162" s="18"/>
      <c r="D162" s="18"/>
      <c r="E162" s="18"/>
      <c r="F162" s="18"/>
      <c r="G162" s="18"/>
      <c r="H162" s="18"/>
      <c r="I162" s="18"/>
      <c r="J162" s="18"/>
      <c r="K162" s="18"/>
    </row>
    <row r="163" ht="14.25" customHeight="1">
      <c r="A163" s="18" t="s">
        <v>319</v>
      </c>
      <c r="B163" s="18" t="s">
        <v>320</v>
      </c>
      <c r="C163" s="18">
        <v>7.5</v>
      </c>
      <c r="D163" s="18">
        <v>7.5</v>
      </c>
      <c r="E163" s="18">
        <v>7.3</v>
      </c>
      <c r="F163" s="18">
        <v>7.0</v>
      </c>
      <c r="G163" s="18">
        <v>6.1</v>
      </c>
      <c r="H163" s="18">
        <v>5.2</v>
      </c>
      <c r="I163" s="18">
        <v>4.7</v>
      </c>
      <c r="J163" s="18">
        <v>4.9</v>
      </c>
      <c r="K163" s="18">
        <v>5.3</v>
      </c>
    </row>
    <row r="164" ht="14.25" customHeight="1">
      <c r="A164" s="18" t="s">
        <v>321</v>
      </c>
      <c r="B164" s="18" t="s">
        <v>322</v>
      </c>
      <c r="C164" s="18">
        <v>22.1</v>
      </c>
      <c r="D164" s="18">
        <v>22.4</v>
      </c>
      <c r="E164" s="18">
        <v>22.5</v>
      </c>
      <c r="F164" s="18">
        <v>22.9</v>
      </c>
      <c r="G164" s="18">
        <v>23.0</v>
      </c>
      <c r="H164" s="18">
        <v>23.4</v>
      </c>
      <c r="I164" s="18">
        <v>23.1</v>
      </c>
      <c r="J164" s="18">
        <v>23.1</v>
      </c>
      <c r="K164" s="18">
        <v>23.4</v>
      </c>
    </row>
    <row r="165" ht="14.25" customHeight="1">
      <c r="A165" s="18" t="s">
        <v>323</v>
      </c>
      <c r="B165" s="18" t="s">
        <v>324</v>
      </c>
      <c r="C165" s="18">
        <v>2.5</v>
      </c>
      <c r="D165" s="18">
        <v>2.5</v>
      </c>
      <c r="E165" s="18">
        <v>2.6</v>
      </c>
      <c r="F165" s="18">
        <v>2.7</v>
      </c>
      <c r="G165" s="18">
        <v>2.8</v>
      </c>
      <c r="H165" s="18">
        <v>2.9</v>
      </c>
      <c r="I165" s="18">
        <v>3.3</v>
      </c>
      <c r="J165" s="18">
        <v>3.5</v>
      </c>
      <c r="K165" s="18">
        <v>4.2</v>
      </c>
    </row>
    <row r="166" ht="14.25" customHeight="1">
      <c r="A166" s="18" t="s">
        <v>325</v>
      </c>
      <c r="B166" s="18" t="s">
        <v>326</v>
      </c>
      <c r="C166" s="18">
        <v>5.4</v>
      </c>
      <c r="D166" s="18">
        <v>5.1</v>
      </c>
      <c r="E166" s="18">
        <v>5.5</v>
      </c>
      <c r="F166" s="18">
        <v>6.1</v>
      </c>
      <c r="G166" s="18">
        <v>6.3</v>
      </c>
      <c r="H166" s="18">
        <v>5.9</v>
      </c>
      <c r="I166" s="18">
        <v>6.2</v>
      </c>
      <c r="J166" s="18">
        <v>6.5</v>
      </c>
      <c r="K166" s="18">
        <v>7.0</v>
      </c>
    </row>
    <row r="167" ht="14.25" customHeight="1">
      <c r="A167" s="18" t="s">
        <v>327</v>
      </c>
      <c r="B167" s="18" t="s">
        <v>328</v>
      </c>
      <c r="C167" s="18">
        <v>11.2</v>
      </c>
      <c r="D167" s="18">
        <v>10.4</v>
      </c>
      <c r="E167" s="18">
        <v>9.1</v>
      </c>
      <c r="F167" s="18">
        <v>7.8</v>
      </c>
      <c r="G167" s="18">
        <v>6.4</v>
      </c>
      <c r="H167" s="18">
        <v>5.4</v>
      </c>
      <c r="I167" s="18">
        <v>5.0</v>
      </c>
      <c r="J167" s="18">
        <v>5.1</v>
      </c>
      <c r="K167" s="18">
        <v>5.2</v>
      </c>
    </row>
    <row r="168" ht="14.25" customHeight="1">
      <c r="A168" s="18" t="s">
        <v>329</v>
      </c>
      <c r="B168" s="18" t="s">
        <v>330</v>
      </c>
      <c r="C168" s="18">
        <v>2.5</v>
      </c>
      <c r="D168" s="18">
        <v>2.5</v>
      </c>
      <c r="E168" s="18">
        <v>2.5</v>
      </c>
      <c r="F168" s="18">
        <v>2.5</v>
      </c>
      <c r="G168" s="18">
        <v>2.5</v>
      </c>
      <c r="H168" s="18">
        <v>2.5</v>
      </c>
      <c r="I168" s="18">
        <v>2.5</v>
      </c>
      <c r="J168" s="18">
        <v>2.5</v>
      </c>
      <c r="K168" s="18">
        <v>2.5</v>
      </c>
    </row>
    <row r="169" ht="14.25" customHeight="1">
      <c r="A169" s="18" t="s">
        <v>331</v>
      </c>
      <c r="B169" s="18" t="s">
        <v>332</v>
      </c>
      <c r="C169" s="18">
        <v>2.5</v>
      </c>
      <c r="D169" s="18">
        <v>2.5</v>
      </c>
      <c r="E169" s="18">
        <v>2.5</v>
      </c>
      <c r="F169" s="18">
        <v>2.5</v>
      </c>
      <c r="G169" s="18">
        <v>2.5</v>
      </c>
      <c r="H169" s="18">
        <v>2.5</v>
      </c>
      <c r="I169" s="18">
        <v>2.5</v>
      </c>
      <c r="J169" s="18">
        <v>2.5</v>
      </c>
      <c r="K169" s="18">
        <v>2.5</v>
      </c>
    </row>
    <row r="170" ht="14.25" customHeight="1">
      <c r="A170" s="18" t="s">
        <v>333</v>
      </c>
      <c r="B170" s="18" t="s">
        <v>334</v>
      </c>
      <c r="C170" s="18"/>
      <c r="D170" s="18"/>
      <c r="E170" s="18"/>
      <c r="F170" s="18"/>
      <c r="G170" s="18"/>
      <c r="H170" s="18"/>
      <c r="I170" s="18"/>
      <c r="J170" s="18"/>
      <c r="K170" s="18"/>
    </row>
    <row r="171" ht="14.25" customHeight="1">
      <c r="A171" s="18" t="s">
        <v>335</v>
      </c>
      <c r="B171" s="18" t="s">
        <v>336</v>
      </c>
      <c r="C171" s="18"/>
      <c r="D171" s="18"/>
      <c r="E171" s="18"/>
      <c r="F171" s="18"/>
      <c r="G171" s="18"/>
      <c r="H171" s="18"/>
      <c r="I171" s="18"/>
      <c r="J171" s="18"/>
      <c r="K171" s="18"/>
    </row>
    <row r="172" ht="14.25" customHeight="1">
      <c r="A172" s="18" t="s">
        <v>337</v>
      </c>
      <c r="B172" s="18" t="s">
        <v>338</v>
      </c>
      <c r="C172" s="18">
        <v>2.5</v>
      </c>
      <c r="D172" s="18">
        <v>2.5</v>
      </c>
      <c r="E172" s="18">
        <v>2.5</v>
      </c>
      <c r="F172" s="18">
        <v>2.5</v>
      </c>
      <c r="G172" s="18">
        <v>2.5</v>
      </c>
      <c r="H172" s="18">
        <v>2.5</v>
      </c>
      <c r="I172" s="18">
        <v>2.5</v>
      </c>
      <c r="J172" s="18">
        <v>2.5</v>
      </c>
      <c r="K172" s="18">
        <v>2.5</v>
      </c>
    </row>
    <row r="173" ht="14.25" customHeight="1">
      <c r="A173" s="18" t="s">
        <v>339</v>
      </c>
      <c r="B173" s="18" t="s">
        <v>340</v>
      </c>
      <c r="C173" s="18">
        <v>2.5</v>
      </c>
      <c r="D173" s="18">
        <v>2.5</v>
      </c>
      <c r="E173" s="18">
        <v>2.5</v>
      </c>
      <c r="F173" s="18">
        <v>2.5</v>
      </c>
      <c r="G173" s="18">
        <v>2.5</v>
      </c>
      <c r="H173" s="18">
        <v>2.5</v>
      </c>
      <c r="I173" s="18">
        <v>2.5</v>
      </c>
      <c r="J173" s="18">
        <v>2.5</v>
      </c>
      <c r="K173" s="18">
        <v>2.5</v>
      </c>
    </row>
    <row r="174" ht="14.25" customHeight="1">
      <c r="A174" s="18" t="s">
        <v>341</v>
      </c>
      <c r="B174" s="18" t="s">
        <v>342</v>
      </c>
      <c r="C174" s="18"/>
      <c r="D174" s="18"/>
      <c r="E174" s="18"/>
      <c r="F174" s="18"/>
      <c r="G174" s="18"/>
      <c r="H174" s="18"/>
      <c r="I174" s="18"/>
      <c r="J174" s="18"/>
      <c r="K174" s="18"/>
    </row>
    <row r="175" ht="14.25" customHeight="1">
      <c r="A175" s="18" t="s">
        <v>343</v>
      </c>
      <c r="B175" s="18" t="s">
        <v>344</v>
      </c>
      <c r="C175" s="18">
        <v>2.5</v>
      </c>
      <c r="D175" s="18">
        <v>2.5</v>
      </c>
      <c r="E175" s="18">
        <v>2.5</v>
      </c>
      <c r="F175" s="18">
        <v>2.5</v>
      </c>
      <c r="G175" s="18">
        <v>2.5</v>
      </c>
      <c r="H175" s="18">
        <v>2.5</v>
      </c>
      <c r="I175" s="18">
        <v>2.5</v>
      </c>
      <c r="J175" s="18">
        <v>2.5</v>
      </c>
      <c r="K175" s="18">
        <v>2.5</v>
      </c>
    </row>
    <row r="176" ht="14.25" customHeight="1">
      <c r="A176" s="18" t="s">
        <v>345</v>
      </c>
      <c r="B176" s="18" t="s">
        <v>346</v>
      </c>
      <c r="C176" s="18">
        <v>2.5</v>
      </c>
      <c r="D176" s="18">
        <v>2.5</v>
      </c>
      <c r="E176" s="18">
        <v>2.5</v>
      </c>
      <c r="F176" s="18">
        <v>2.5</v>
      </c>
      <c r="G176" s="18">
        <v>2.5</v>
      </c>
      <c r="H176" s="18">
        <v>2.5</v>
      </c>
      <c r="I176" s="18">
        <v>2.5</v>
      </c>
      <c r="J176" s="18">
        <v>2.5</v>
      </c>
      <c r="K176" s="18">
        <v>2.5</v>
      </c>
    </row>
    <row r="177" ht="14.25" customHeight="1">
      <c r="A177" s="18" t="s">
        <v>347</v>
      </c>
      <c r="B177" s="18" t="s">
        <v>348</v>
      </c>
      <c r="C177" s="18">
        <v>33.1</v>
      </c>
      <c r="D177" s="18">
        <v>33.0</v>
      </c>
      <c r="E177" s="18">
        <v>32.6</v>
      </c>
      <c r="F177" s="18">
        <v>31.5</v>
      </c>
      <c r="G177" s="18">
        <v>31.4</v>
      </c>
      <c r="H177" s="18">
        <v>31.8</v>
      </c>
      <c r="I177" s="18">
        <v>32.7</v>
      </c>
      <c r="J177" s="18">
        <v>32.4</v>
      </c>
      <c r="K177" s="18">
        <v>31.6</v>
      </c>
    </row>
    <row r="178" ht="14.25" customHeight="1">
      <c r="A178" s="18" t="s">
        <v>349</v>
      </c>
      <c r="B178" s="18" t="s">
        <v>350</v>
      </c>
      <c r="C178" s="18"/>
      <c r="D178" s="18"/>
      <c r="E178" s="18"/>
      <c r="F178" s="18"/>
      <c r="G178" s="18"/>
      <c r="H178" s="18"/>
      <c r="I178" s="18"/>
      <c r="J178" s="18"/>
      <c r="K178" s="18"/>
    </row>
    <row r="179" ht="14.25" customHeight="1">
      <c r="A179" s="18" t="s">
        <v>351</v>
      </c>
      <c r="B179" s="18" t="s">
        <v>352</v>
      </c>
      <c r="C179" s="18"/>
      <c r="D179" s="18"/>
      <c r="E179" s="18"/>
      <c r="F179" s="18"/>
      <c r="G179" s="18"/>
      <c r="H179" s="18"/>
      <c r="I179" s="18"/>
      <c r="J179" s="18"/>
      <c r="K179" s="18"/>
    </row>
    <row r="180" ht="14.25" customHeight="1">
      <c r="A180" s="18" t="s">
        <v>353</v>
      </c>
      <c r="B180" s="18" t="s">
        <v>354</v>
      </c>
      <c r="C180" s="18"/>
      <c r="D180" s="18"/>
      <c r="E180" s="18"/>
      <c r="F180" s="18"/>
      <c r="G180" s="18"/>
      <c r="H180" s="18"/>
      <c r="I180" s="18"/>
      <c r="J180" s="18"/>
      <c r="K180" s="18"/>
    </row>
    <row r="181" ht="14.25" customHeight="1">
      <c r="A181" s="18" t="s">
        <v>355</v>
      </c>
      <c r="B181" s="18" t="s">
        <v>356</v>
      </c>
      <c r="C181" s="18"/>
      <c r="D181" s="18"/>
      <c r="E181" s="18"/>
      <c r="F181" s="18"/>
      <c r="G181" s="18"/>
      <c r="H181" s="18"/>
      <c r="I181" s="18"/>
      <c r="J181" s="18"/>
      <c r="K181" s="18"/>
    </row>
    <row r="182" ht="14.25" customHeight="1">
      <c r="A182" s="18" t="s">
        <v>357</v>
      </c>
      <c r="B182" s="18" t="s">
        <v>358</v>
      </c>
      <c r="C182" s="18"/>
      <c r="D182" s="18"/>
      <c r="E182" s="18"/>
      <c r="F182" s="18"/>
      <c r="G182" s="18"/>
      <c r="H182" s="18"/>
      <c r="I182" s="18"/>
      <c r="J182" s="18"/>
      <c r="K182" s="18"/>
    </row>
    <row r="183" ht="14.25" customHeight="1">
      <c r="A183" s="18" t="s">
        <v>359</v>
      </c>
      <c r="B183" s="18" t="s">
        <v>360</v>
      </c>
      <c r="C183" s="18"/>
      <c r="D183" s="18"/>
      <c r="E183" s="18"/>
      <c r="F183" s="18"/>
      <c r="G183" s="18"/>
      <c r="H183" s="18"/>
      <c r="I183" s="18"/>
      <c r="J183" s="18"/>
      <c r="K183" s="18"/>
    </row>
    <row r="184" ht="14.25" customHeight="1">
      <c r="A184" s="18" t="s">
        <v>361</v>
      </c>
      <c r="B184" s="18" t="s">
        <v>362</v>
      </c>
      <c r="C184" s="18">
        <v>5.6</v>
      </c>
      <c r="D184" s="18">
        <v>5.3</v>
      </c>
      <c r="E184" s="18">
        <v>5.0</v>
      </c>
      <c r="F184" s="18">
        <v>4.3</v>
      </c>
      <c r="G184" s="18">
        <v>3.6</v>
      </c>
      <c r="H184" s="18">
        <v>3.2</v>
      </c>
      <c r="I184" s="18">
        <v>3.3</v>
      </c>
      <c r="J184" s="18">
        <v>3.6</v>
      </c>
      <c r="K184" s="18">
        <v>3.1</v>
      </c>
    </row>
    <row r="185" ht="14.25" customHeight="1">
      <c r="A185" s="18" t="s">
        <v>363</v>
      </c>
      <c r="B185" s="18" t="s">
        <v>364</v>
      </c>
      <c r="C185" s="18">
        <v>5.8</v>
      </c>
      <c r="D185" s="18">
        <v>6.7</v>
      </c>
      <c r="E185" s="18">
        <v>7.3</v>
      </c>
      <c r="F185" s="18">
        <v>7.9</v>
      </c>
      <c r="G185" s="18">
        <v>7.9</v>
      </c>
      <c r="H185" s="18">
        <v>7.7</v>
      </c>
      <c r="I185" s="18">
        <v>7.4</v>
      </c>
      <c r="J185" s="18">
        <v>5.6</v>
      </c>
      <c r="K185" s="18">
        <v>4.6</v>
      </c>
    </row>
    <row r="186" ht="14.25" customHeight="1">
      <c r="A186" s="18" t="s">
        <v>365</v>
      </c>
      <c r="B186" s="18" t="s">
        <v>366</v>
      </c>
      <c r="C186" s="18"/>
      <c r="D186" s="18"/>
      <c r="E186" s="18"/>
      <c r="F186" s="18"/>
      <c r="G186" s="18"/>
      <c r="H186" s="18"/>
      <c r="I186" s="18"/>
      <c r="J186" s="18"/>
      <c r="K186" s="18"/>
    </row>
    <row r="187" ht="14.25" customHeight="1">
      <c r="A187" s="18" t="s">
        <v>367</v>
      </c>
      <c r="B187" s="18" t="s">
        <v>368</v>
      </c>
      <c r="C187" s="18">
        <v>15.9</v>
      </c>
      <c r="D187" s="18">
        <v>16.2</v>
      </c>
      <c r="E187" s="18">
        <v>16.1</v>
      </c>
      <c r="F187" s="18">
        <v>15.8</v>
      </c>
      <c r="G187" s="18">
        <v>15.3</v>
      </c>
      <c r="H187" s="18">
        <v>15.3</v>
      </c>
      <c r="I187" s="18">
        <v>14.9</v>
      </c>
      <c r="J187" s="18">
        <v>13.5</v>
      </c>
      <c r="K187" s="18">
        <v>13.1</v>
      </c>
    </row>
    <row r="188" ht="14.25" customHeight="1">
      <c r="A188" s="18" t="s">
        <v>369</v>
      </c>
      <c r="B188" s="18" t="s">
        <v>370</v>
      </c>
      <c r="C188" s="18">
        <v>6.2</v>
      </c>
      <c r="D188" s="18">
        <v>5.5</v>
      </c>
      <c r="E188" s="18">
        <v>4.6</v>
      </c>
      <c r="F188" s="18">
        <v>4.4</v>
      </c>
      <c r="G188" s="18">
        <v>4.5</v>
      </c>
      <c r="H188" s="18">
        <v>4.7</v>
      </c>
      <c r="I188" s="18">
        <v>4.6</v>
      </c>
      <c r="J188" s="18">
        <v>4.3</v>
      </c>
      <c r="K188" s="18">
        <v>3.8</v>
      </c>
    </row>
    <row r="189" ht="14.25" customHeight="1">
      <c r="A189" s="18" t="s">
        <v>371</v>
      </c>
      <c r="B189" s="18" t="s">
        <v>372</v>
      </c>
      <c r="C189" s="18">
        <v>10.8</v>
      </c>
      <c r="D189" s="18">
        <v>10.6</v>
      </c>
      <c r="E189" s="18">
        <v>9.5</v>
      </c>
      <c r="F189" s="18">
        <v>8.3</v>
      </c>
      <c r="G189" s="18">
        <v>7.3</v>
      </c>
      <c r="H189" s="18">
        <v>6.7</v>
      </c>
      <c r="I189" s="18">
        <v>6.3</v>
      </c>
      <c r="J189" s="18">
        <v>5.9</v>
      </c>
      <c r="K189" s="18">
        <v>5.7</v>
      </c>
    </row>
    <row r="190" ht="14.25" customHeight="1">
      <c r="A190" s="18" t="s">
        <v>373</v>
      </c>
      <c r="B190" s="18" t="s">
        <v>374</v>
      </c>
      <c r="C190" s="18">
        <v>2.5</v>
      </c>
      <c r="D190" s="18">
        <v>2.5</v>
      </c>
      <c r="E190" s="18">
        <v>2.5</v>
      </c>
      <c r="F190" s="18">
        <v>2.5</v>
      </c>
      <c r="G190" s="18">
        <v>2.5</v>
      </c>
      <c r="H190" s="18">
        <v>2.5</v>
      </c>
      <c r="I190" s="18">
        <v>2.5</v>
      </c>
      <c r="J190" s="18">
        <v>2.5</v>
      </c>
      <c r="K190" s="18">
        <v>2.5</v>
      </c>
    </row>
    <row r="191" ht="14.25" customHeight="1">
      <c r="A191" s="18" t="s">
        <v>375</v>
      </c>
      <c r="B191" s="18" t="s">
        <v>376</v>
      </c>
      <c r="C191" s="18">
        <v>5.7</v>
      </c>
      <c r="D191" s="18">
        <v>5.7</v>
      </c>
      <c r="E191" s="18">
        <v>5.2</v>
      </c>
      <c r="F191" s="18">
        <v>4.7</v>
      </c>
      <c r="G191" s="18">
        <v>4.3</v>
      </c>
      <c r="H191" s="18">
        <v>4.0</v>
      </c>
      <c r="I191" s="18">
        <v>4.0</v>
      </c>
      <c r="J191" s="18">
        <v>3.5</v>
      </c>
      <c r="K191" s="18">
        <v>4.3</v>
      </c>
    </row>
    <row r="192" ht="14.25" customHeight="1">
      <c r="A192" s="18" t="s">
        <v>377</v>
      </c>
      <c r="B192" s="18" t="s">
        <v>378</v>
      </c>
      <c r="C192" s="18">
        <v>22.7</v>
      </c>
      <c r="D192" s="18">
        <v>22.6</v>
      </c>
      <c r="E192" s="18">
        <v>23.7</v>
      </c>
      <c r="F192" s="18">
        <v>24.2</v>
      </c>
      <c r="G192" s="18">
        <v>25.7</v>
      </c>
      <c r="H192" s="18">
        <v>26.8</v>
      </c>
      <c r="I192" s="18">
        <v>27.5</v>
      </c>
      <c r="J192" s="18">
        <v>27.3</v>
      </c>
      <c r="K192" s="18">
        <v>27.8</v>
      </c>
    </row>
    <row r="193" ht="14.25" customHeight="1">
      <c r="A193" s="18" t="s">
        <v>379</v>
      </c>
      <c r="B193" s="18" t="s">
        <v>380</v>
      </c>
      <c r="C193" s="18"/>
      <c r="D193" s="18"/>
      <c r="E193" s="18"/>
      <c r="F193" s="18"/>
      <c r="G193" s="18"/>
      <c r="H193" s="18"/>
      <c r="I193" s="18"/>
      <c r="J193" s="18"/>
      <c r="K193" s="18"/>
    </row>
    <row r="194" ht="14.25" customHeight="1">
      <c r="A194" s="18" t="s">
        <v>381</v>
      </c>
      <c r="B194" s="18" t="s">
        <v>382</v>
      </c>
      <c r="C194" s="18"/>
      <c r="D194" s="18"/>
      <c r="E194" s="18"/>
      <c r="F194" s="18"/>
      <c r="G194" s="18"/>
      <c r="H194" s="18"/>
      <c r="I194" s="18"/>
      <c r="J194" s="18"/>
      <c r="K194" s="18"/>
    </row>
    <row r="195" ht="14.25" customHeight="1">
      <c r="A195" s="18" t="s">
        <v>383</v>
      </c>
      <c r="B195" s="18" t="s">
        <v>384</v>
      </c>
      <c r="C195" s="18">
        <v>5.4</v>
      </c>
      <c r="D195" s="18">
        <v>5.6</v>
      </c>
      <c r="E195" s="18">
        <v>5.5</v>
      </c>
      <c r="F195" s="18">
        <v>5.2</v>
      </c>
      <c r="G195" s="18">
        <v>4.0</v>
      </c>
      <c r="H195" s="18">
        <v>3.3</v>
      </c>
      <c r="I195" s="18">
        <v>2.7</v>
      </c>
      <c r="J195" s="18">
        <v>2.5</v>
      </c>
      <c r="K195" s="18">
        <v>2.8</v>
      </c>
    </row>
    <row r="196" ht="14.25" customHeight="1">
      <c r="A196" s="18" t="s">
        <v>385</v>
      </c>
      <c r="B196" s="18" t="s">
        <v>386</v>
      </c>
      <c r="C196" s="18">
        <v>2.5</v>
      </c>
      <c r="D196" s="18">
        <v>2.5</v>
      </c>
      <c r="E196" s="18">
        <v>2.5</v>
      </c>
      <c r="F196" s="18">
        <v>2.5</v>
      </c>
      <c r="G196" s="18">
        <v>2.5</v>
      </c>
      <c r="H196" s="18">
        <v>2.5</v>
      </c>
      <c r="I196" s="18">
        <v>2.5</v>
      </c>
      <c r="J196" s="18">
        <v>2.5</v>
      </c>
      <c r="K196" s="18">
        <v>2.5</v>
      </c>
    </row>
    <row r="197" ht="14.25" customHeight="1">
      <c r="A197" s="18" t="s">
        <v>387</v>
      </c>
      <c r="B197" s="18" t="s">
        <v>388</v>
      </c>
      <c r="C197" s="18">
        <v>21.4</v>
      </c>
      <c r="D197" s="18">
        <v>22.0</v>
      </c>
      <c r="E197" s="18">
        <v>21.6</v>
      </c>
      <c r="F197" s="18">
        <v>20.9</v>
      </c>
      <c r="G197" s="18">
        <v>20.2</v>
      </c>
      <c r="H197" s="18">
        <v>19.8</v>
      </c>
      <c r="I197" s="18">
        <v>19.9</v>
      </c>
      <c r="J197" s="18">
        <v>19.5</v>
      </c>
      <c r="K197" s="18">
        <v>19.0</v>
      </c>
    </row>
    <row r="198" ht="14.25" customHeight="1">
      <c r="A198" s="18" t="s">
        <v>389</v>
      </c>
      <c r="B198" s="18" t="s">
        <v>390</v>
      </c>
      <c r="C198" s="18">
        <v>60.4</v>
      </c>
      <c r="D198" s="18">
        <v>58.7</v>
      </c>
      <c r="E198" s="18">
        <v>58.2</v>
      </c>
      <c r="F198" s="18">
        <v>57.7</v>
      </c>
      <c r="G198" s="18">
        <v>56.6</v>
      </c>
      <c r="H198" s="18">
        <v>54.0</v>
      </c>
      <c r="I198" s="18">
        <v>51.9</v>
      </c>
      <c r="J198" s="18">
        <v>49.9</v>
      </c>
      <c r="K198" s="18">
        <v>48.7</v>
      </c>
    </row>
    <row r="199" ht="14.25" customHeight="1">
      <c r="A199" s="18" t="s">
        <v>391</v>
      </c>
      <c r="B199" s="18" t="s">
        <v>392</v>
      </c>
      <c r="C199" s="18">
        <v>5.5</v>
      </c>
      <c r="D199" s="18">
        <v>6.3</v>
      </c>
      <c r="E199" s="18">
        <v>6.5</v>
      </c>
      <c r="F199" s="18">
        <v>6.2</v>
      </c>
      <c r="G199" s="18">
        <v>5.7</v>
      </c>
      <c r="H199" s="18">
        <v>5.7</v>
      </c>
      <c r="I199" s="18">
        <v>6.1</v>
      </c>
      <c r="J199" s="18">
        <v>6.9</v>
      </c>
      <c r="K199" s="18">
        <v>7.9</v>
      </c>
    </row>
    <row r="200" ht="14.25" customHeight="1">
      <c r="A200" s="18" t="s">
        <v>393</v>
      </c>
      <c r="B200" s="18" t="s">
        <v>394</v>
      </c>
      <c r="C200" s="18"/>
      <c r="D200" s="18"/>
      <c r="E200" s="18"/>
      <c r="F200" s="18"/>
      <c r="G200" s="18"/>
      <c r="H200" s="18"/>
      <c r="I200" s="18"/>
      <c r="J200" s="18">
        <v>20.8</v>
      </c>
      <c r="K200" s="18">
        <v>21.4</v>
      </c>
    </row>
    <row r="201" ht="14.25" customHeight="1">
      <c r="A201" s="18" t="s">
        <v>395</v>
      </c>
      <c r="B201" s="18" t="s">
        <v>396</v>
      </c>
      <c r="C201" s="18">
        <v>2.5</v>
      </c>
      <c r="D201" s="18">
        <v>2.5</v>
      </c>
      <c r="E201" s="18">
        <v>2.5</v>
      </c>
      <c r="F201" s="18">
        <v>2.5</v>
      </c>
      <c r="G201" s="18">
        <v>2.5</v>
      </c>
      <c r="H201" s="18">
        <v>2.5</v>
      </c>
      <c r="I201" s="18">
        <v>2.5</v>
      </c>
      <c r="J201" s="18">
        <v>2.5</v>
      </c>
      <c r="K201" s="18">
        <v>2.5</v>
      </c>
    </row>
    <row r="202" ht="14.25" customHeight="1">
      <c r="A202" s="18" t="s">
        <v>397</v>
      </c>
      <c r="B202" s="18" t="s">
        <v>398</v>
      </c>
      <c r="C202" s="18">
        <v>11.7</v>
      </c>
      <c r="D202" s="18">
        <v>10.2</v>
      </c>
      <c r="E202" s="18">
        <v>9.1</v>
      </c>
      <c r="F202" s="18">
        <v>8.1</v>
      </c>
      <c r="G202" s="18">
        <v>7.6</v>
      </c>
      <c r="H202" s="18">
        <v>7.1</v>
      </c>
      <c r="I202" s="18">
        <v>6.4</v>
      </c>
      <c r="J202" s="18">
        <v>5.7</v>
      </c>
      <c r="K202" s="18">
        <v>5.3</v>
      </c>
    </row>
    <row r="203" ht="14.25" customHeight="1">
      <c r="A203" s="18" t="s">
        <v>401</v>
      </c>
      <c r="B203" s="18" t="s">
        <v>402</v>
      </c>
      <c r="C203" s="18">
        <v>9.7</v>
      </c>
      <c r="D203" s="18">
        <v>9.3</v>
      </c>
      <c r="E203" s="18">
        <v>9.7</v>
      </c>
      <c r="F203" s="18">
        <v>10.6</v>
      </c>
      <c r="G203" s="18">
        <v>11.1</v>
      </c>
      <c r="H203" s="18">
        <v>11.5</v>
      </c>
      <c r="I203" s="18">
        <v>11.3</v>
      </c>
      <c r="J203" s="18">
        <v>11.6</v>
      </c>
      <c r="K203" s="18">
        <v>11.9</v>
      </c>
    </row>
    <row r="204" ht="14.25" customHeight="1">
      <c r="A204" s="18" t="s">
        <v>403</v>
      </c>
      <c r="B204" s="18" t="s">
        <v>404</v>
      </c>
      <c r="C204" s="18">
        <v>8.0</v>
      </c>
      <c r="D204" s="18">
        <v>8.4</v>
      </c>
      <c r="E204" s="18">
        <v>9.0</v>
      </c>
      <c r="F204" s="18">
        <v>9.7</v>
      </c>
      <c r="G204" s="18">
        <v>9.7</v>
      </c>
      <c r="H204" s="18">
        <v>9.2</v>
      </c>
      <c r="I204" s="18">
        <v>9.0</v>
      </c>
      <c r="J204" s="18">
        <v>9.1</v>
      </c>
      <c r="K204" s="18">
        <v>9.0</v>
      </c>
    </row>
    <row r="205" ht="14.25" customHeight="1">
      <c r="A205" s="18" t="s">
        <v>405</v>
      </c>
      <c r="B205" s="18" t="s">
        <v>406</v>
      </c>
      <c r="C205" s="18">
        <v>2.5</v>
      </c>
      <c r="D205" s="18">
        <v>2.5</v>
      </c>
      <c r="E205" s="18">
        <v>2.5</v>
      </c>
      <c r="F205" s="18">
        <v>2.5</v>
      </c>
      <c r="G205" s="18">
        <v>2.5</v>
      </c>
      <c r="H205" s="18">
        <v>2.5</v>
      </c>
      <c r="I205" s="18">
        <v>2.5</v>
      </c>
      <c r="J205" s="18">
        <v>2.5</v>
      </c>
      <c r="K205" s="18">
        <v>2.5</v>
      </c>
    </row>
    <row r="206" ht="14.25" customHeight="1">
      <c r="A206" s="18" t="s">
        <v>407</v>
      </c>
      <c r="B206" s="18" t="s">
        <v>408</v>
      </c>
      <c r="C206" s="18">
        <v>2.5</v>
      </c>
      <c r="D206" s="18">
        <v>2.5</v>
      </c>
      <c r="E206" s="18">
        <v>2.5</v>
      </c>
      <c r="F206" s="18">
        <v>2.5</v>
      </c>
      <c r="G206" s="18">
        <v>2.5</v>
      </c>
      <c r="H206" s="18">
        <v>2.5</v>
      </c>
      <c r="I206" s="18">
        <v>2.5</v>
      </c>
      <c r="J206" s="18">
        <v>2.5</v>
      </c>
      <c r="K206" s="18">
        <v>2.5</v>
      </c>
    </row>
    <row r="207" ht="14.25" customHeight="1">
      <c r="A207" s="18" t="s">
        <v>409</v>
      </c>
      <c r="B207" s="18" t="s">
        <v>410</v>
      </c>
      <c r="C207" s="18">
        <v>8.4</v>
      </c>
      <c r="D207" s="18">
        <v>9.4</v>
      </c>
      <c r="E207" s="18">
        <v>11.1</v>
      </c>
      <c r="F207" s="18">
        <v>13.5</v>
      </c>
      <c r="G207" s="18">
        <v>16.8</v>
      </c>
      <c r="H207" s="18">
        <v>20.1</v>
      </c>
      <c r="I207" s="18">
        <v>23.6</v>
      </c>
      <c r="J207" s="18">
        <v>25.7</v>
      </c>
      <c r="K207" s="18">
        <v>27.8</v>
      </c>
    </row>
    <row r="208" ht="14.25" customHeight="1">
      <c r="A208" s="18" t="s">
        <v>411</v>
      </c>
      <c r="B208" s="18" t="s">
        <v>412</v>
      </c>
      <c r="C208" s="18">
        <v>20.8</v>
      </c>
      <c r="D208" s="18">
        <v>18.8</v>
      </c>
      <c r="E208" s="18">
        <v>16.3</v>
      </c>
      <c r="F208" s="18">
        <v>14.1</v>
      </c>
      <c r="G208" s="18">
        <v>12.3</v>
      </c>
      <c r="H208" s="18">
        <v>10.5</v>
      </c>
      <c r="I208" s="18">
        <v>9.8</v>
      </c>
      <c r="J208" s="18">
        <v>9.3</v>
      </c>
      <c r="K208" s="18">
        <v>9.3</v>
      </c>
    </row>
    <row r="209" ht="14.25" customHeight="1">
      <c r="A209" s="18" t="s">
        <v>413</v>
      </c>
      <c r="B209" s="18" t="s">
        <v>414</v>
      </c>
      <c r="C209" s="18">
        <v>8.0</v>
      </c>
      <c r="D209" s="18">
        <v>7.4</v>
      </c>
      <c r="E209" s="18">
        <v>6.9</v>
      </c>
      <c r="F209" s="18">
        <v>6.8</v>
      </c>
      <c r="G209" s="18">
        <v>6.8</v>
      </c>
      <c r="H209" s="18">
        <v>6.5</v>
      </c>
      <c r="I209" s="18">
        <v>6.0</v>
      </c>
      <c r="J209" s="18">
        <v>5.6</v>
      </c>
      <c r="K209" s="18">
        <v>5.2</v>
      </c>
    </row>
    <row r="210" ht="14.25" customHeight="1">
      <c r="A210" s="18" t="s">
        <v>415</v>
      </c>
      <c r="B210" s="18" t="s">
        <v>416</v>
      </c>
      <c r="C210" s="18">
        <v>29.8</v>
      </c>
      <c r="D210" s="18">
        <v>28.4</v>
      </c>
      <c r="E210" s="18">
        <v>27.6</v>
      </c>
      <c r="F210" s="18">
        <v>27.1</v>
      </c>
      <c r="G210" s="18">
        <v>26.1</v>
      </c>
      <c r="H210" s="18">
        <v>25.0</v>
      </c>
      <c r="I210" s="18">
        <v>23.8</v>
      </c>
      <c r="J210" s="18">
        <v>23.7</v>
      </c>
      <c r="K210" s="18">
        <v>22.3</v>
      </c>
    </row>
    <row r="211" ht="14.25" customHeight="1">
      <c r="A211" s="18" t="s">
        <v>417</v>
      </c>
      <c r="B211" s="18" t="s">
        <v>418</v>
      </c>
      <c r="C211" s="18">
        <v>19.2</v>
      </c>
      <c r="D211" s="18">
        <v>19.7</v>
      </c>
      <c r="E211" s="18">
        <v>19.8</v>
      </c>
      <c r="F211" s="18">
        <v>20.3</v>
      </c>
      <c r="G211" s="18">
        <v>20.0</v>
      </c>
      <c r="H211" s="18">
        <v>19.7</v>
      </c>
      <c r="I211" s="18">
        <v>18.8</v>
      </c>
      <c r="J211" s="18">
        <v>17.5</v>
      </c>
      <c r="K211" s="18">
        <v>17.4</v>
      </c>
    </row>
    <row r="212" ht="14.25" customHeight="1">
      <c r="A212" s="18" t="s">
        <v>419</v>
      </c>
      <c r="B212" s="18" t="s">
        <v>420</v>
      </c>
      <c r="C212" s="18"/>
      <c r="D212" s="18"/>
      <c r="E212" s="18"/>
      <c r="F212" s="18"/>
      <c r="G212" s="18"/>
      <c r="H212" s="18"/>
      <c r="I212" s="18"/>
      <c r="J212" s="18"/>
      <c r="K212" s="18"/>
    </row>
    <row r="213" ht="14.25" customHeight="1">
      <c r="A213" s="18" t="s">
        <v>421</v>
      </c>
      <c r="B213" s="18" t="s">
        <v>422</v>
      </c>
      <c r="C213" s="18"/>
      <c r="D213" s="18"/>
      <c r="E213" s="18"/>
      <c r="F213" s="18"/>
      <c r="G213" s="18"/>
      <c r="H213" s="18"/>
      <c r="I213" s="18"/>
      <c r="J213" s="18"/>
      <c r="K213" s="18"/>
    </row>
    <row r="214" ht="14.25" customHeight="1">
      <c r="A214" s="18" t="s">
        <v>423</v>
      </c>
      <c r="B214" s="18" t="s">
        <v>424</v>
      </c>
      <c r="C214" s="18">
        <v>10.8</v>
      </c>
      <c r="D214" s="18">
        <v>11.0</v>
      </c>
      <c r="E214" s="18">
        <v>11.3</v>
      </c>
      <c r="F214" s="18">
        <v>11.5</v>
      </c>
      <c r="G214" s="18">
        <v>12.0</v>
      </c>
      <c r="H214" s="18">
        <v>12.7</v>
      </c>
      <c r="I214" s="18">
        <v>13.2</v>
      </c>
      <c r="J214" s="18">
        <v>13.4</v>
      </c>
      <c r="K214" s="18">
        <v>12.2</v>
      </c>
    </row>
    <row r="215" ht="14.25" customHeight="1">
      <c r="A215" s="18" t="s">
        <v>425</v>
      </c>
      <c r="B215" s="18" t="s">
        <v>426</v>
      </c>
      <c r="C215" s="18">
        <v>3.1</v>
      </c>
      <c r="D215" s="18">
        <v>2.9</v>
      </c>
      <c r="E215" s="18">
        <v>2.8</v>
      </c>
      <c r="F215" s="18">
        <v>2.7</v>
      </c>
      <c r="G215" s="18">
        <v>2.6</v>
      </c>
      <c r="H215" s="18">
        <v>2.5</v>
      </c>
      <c r="I215" s="18">
        <v>2.5</v>
      </c>
      <c r="J215" s="18">
        <v>2.8</v>
      </c>
      <c r="K215" s="18">
        <v>3.0</v>
      </c>
    </row>
    <row r="216" ht="14.25" customHeight="1">
      <c r="A216" s="18" t="s">
        <v>427</v>
      </c>
      <c r="B216" s="18" t="s">
        <v>428</v>
      </c>
      <c r="C216" s="18">
        <v>2.5</v>
      </c>
      <c r="D216" s="18">
        <v>2.5</v>
      </c>
      <c r="E216" s="18">
        <v>2.5</v>
      </c>
      <c r="F216" s="18">
        <v>2.5</v>
      </c>
      <c r="G216" s="18">
        <v>2.5</v>
      </c>
      <c r="H216" s="18">
        <v>2.5</v>
      </c>
      <c r="I216" s="18">
        <v>2.5</v>
      </c>
      <c r="J216" s="18">
        <v>2.5</v>
      </c>
      <c r="K216" s="18">
        <v>2.5</v>
      </c>
    </row>
    <row r="217" ht="14.25" customHeight="1">
      <c r="A217" s="18" t="s">
        <v>429</v>
      </c>
      <c r="B217" s="18" t="s">
        <v>430</v>
      </c>
      <c r="C217" s="18">
        <v>6.3</v>
      </c>
      <c r="D217" s="18">
        <v>5.8</v>
      </c>
      <c r="E217" s="18">
        <v>5.5</v>
      </c>
      <c r="F217" s="18">
        <v>5.6</v>
      </c>
      <c r="G217" s="18">
        <v>5.6</v>
      </c>
      <c r="H217" s="18">
        <v>5.8</v>
      </c>
      <c r="I217" s="18">
        <v>5.8</v>
      </c>
      <c r="J217" s="18">
        <v>5.8</v>
      </c>
      <c r="K217" s="18">
        <v>5.7</v>
      </c>
    </row>
    <row r="218" ht="14.25" customHeight="1">
      <c r="A218" s="18" t="s">
        <v>431</v>
      </c>
      <c r="B218" s="18" t="s">
        <v>432</v>
      </c>
      <c r="C218" s="18"/>
      <c r="D218" s="18"/>
      <c r="E218" s="18"/>
      <c r="F218" s="18"/>
      <c r="G218" s="18"/>
      <c r="H218" s="18"/>
      <c r="I218" s="18"/>
      <c r="J218" s="18"/>
      <c r="K218" s="18"/>
    </row>
    <row r="219" ht="14.25" customHeight="1">
      <c r="A219" s="18" t="s">
        <v>433</v>
      </c>
      <c r="B219" s="18" t="s">
        <v>434</v>
      </c>
      <c r="C219" s="18"/>
      <c r="D219" s="18"/>
      <c r="E219" s="18"/>
      <c r="F219" s="18"/>
      <c r="G219" s="18"/>
      <c r="H219" s="18"/>
      <c r="I219" s="18"/>
      <c r="J219" s="18"/>
      <c r="K219" s="18"/>
    </row>
    <row r="220" ht="14.25" customHeight="1">
      <c r="A220" s="18" t="s">
        <v>435</v>
      </c>
      <c r="B220" s="18" t="s">
        <v>436</v>
      </c>
      <c r="C220" s="18">
        <v>21.3</v>
      </c>
      <c r="D220" s="18">
        <v>24.7</v>
      </c>
      <c r="E220" s="18">
        <v>30.2</v>
      </c>
      <c r="F220" s="18">
        <v>34.2</v>
      </c>
      <c r="G220" s="18">
        <v>35.5</v>
      </c>
      <c r="H220" s="18">
        <v>34.1</v>
      </c>
      <c r="I220" s="18">
        <v>32.5</v>
      </c>
      <c r="J220" s="18">
        <v>31.5</v>
      </c>
      <c r="K220" s="18">
        <v>31.6</v>
      </c>
    </row>
    <row r="221" ht="14.25" customHeight="1">
      <c r="A221" s="18" t="s">
        <v>437</v>
      </c>
      <c r="B221" s="18" t="s">
        <v>438</v>
      </c>
      <c r="C221" s="18">
        <v>2.5</v>
      </c>
      <c r="D221" s="18">
        <v>2.5</v>
      </c>
      <c r="E221" s="18">
        <v>2.5</v>
      </c>
      <c r="F221" s="18">
        <v>2.5</v>
      </c>
      <c r="G221" s="18">
        <v>2.5</v>
      </c>
      <c r="H221" s="18">
        <v>2.8</v>
      </c>
      <c r="I221" s="18">
        <v>3.6</v>
      </c>
      <c r="J221" s="18">
        <v>4.1</v>
      </c>
      <c r="K221" s="18">
        <v>4.8</v>
      </c>
    </row>
    <row r="222" ht="14.25" customHeight="1">
      <c r="A222" s="18" t="s">
        <v>439</v>
      </c>
      <c r="B222" s="18" t="s">
        <v>440</v>
      </c>
      <c r="C222" s="18">
        <v>4.9</v>
      </c>
      <c r="D222" s="18">
        <v>4.7</v>
      </c>
      <c r="E222" s="18">
        <v>4.8</v>
      </c>
      <c r="F222" s="18">
        <v>4.5</v>
      </c>
      <c r="G222" s="18">
        <v>4.3</v>
      </c>
      <c r="H222" s="18">
        <v>3.8</v>
      </c>
      <c r="I222" s="18">
        <v>3.4</v>
      </c>
      <c r="J222" s="18">
        <v>2.7</v>
      </c>
      <c r="K222" s="18">
        <v>2.5</v>
      </c>
    </row>
    <row r="223" ht="14.25" customHeight="1">
      <c r="A223" s="18" t="s">
        <v>475</v>
      </c>
      <c r="B223" s="18" t="s">
        <v>442</v>
      </c>
      <c r="C223" s="18">
        <v>2.5</v>
      </c>
      <c r="D223" s="18">
        <v>2.5</v>
      </c>
      <c r="E223" s="18">
        <v>2.5</v>
      </c>
      <c r="F223" s="18">
        <v>2.5</v>
      </c>
      <c r="G223" s="18">
        <v>2.5</v>
      </c>
      <c r="H223" s="18">
        <v>2.5</v>
      </c>
      <c r="I223" s="18">
        <v>2.5</v>
      </c>
      <c r="J223" s="18">
        <v>2.5</v>
      </c>
      <c r="K223" s="18">
        <v>2.5</v>
      </c>
    </row>
    <row r="224" ht="14.25" customHeight="1">
      <c r="A224" s="18" t="s">
        <v>443</v>
      </c>
      <c r="B224" s="18" t="s">
        <v>444</v>
      </c>
      <c r="C224" s="18">
        <v>20.3</v>
      </c>
      <c r="D224" s="18">
        <v>20.2</v>
      </c>
      <c r="E224" s="18">
        <v>20.5</v>
      </c>
      <c r="F224" s="18">
        <v>21.1</v>
      </c>
      <c r="G224" s="18">
        <v>21.8</v>
      </c>
      <c r="H224" s="18">
        <v>22.2</v>
      </c>
      <c r="I224" s="18">
        <v>22.3</v>
      </c>
      <c r="J224" s="18">
        <v>22.2</v>
      </c>
      <c r="K224" s="18">
        <v>23.5</v>
      </c>
    </row>
    <row r="225" ht="14.25" customHeight="1">
      <c r="A225" s="18" t="s">
        <v>447</v>
      </c>
      <c r="B225" s="18" t="s">
        <v>448</v>
      </c>
      <c r="C225" s="18">
        <v>2.5</v>
      </c>
      <c r="D225" s="18">
        <v>2.5</v>
      </c>
      <c r="E225" s="18">
        <v>2.5</v>
      </c>
      <c r="F225" s="18">
        <v>2.5</v>
      </c>
      <c r="G225" s="18">
        <v>2.5</v>
      </c>
      <c r="H225" s="18">
        <v>2.5</v>
      </c>
      <c r="I225" s="18">
        <v>2.5</v>
      </c>
      <c r="J225" s="18">
        <v>2.5</v>
      </c>
      <c r="K225" s="18">
        <v>2.5</v>
      </c>
    </row>
    <row r="226" ht="14.25" customHeight="1">
      <c r="A226" s="18" t="s">
        <v>445</v>
      </c>
      <c r="B226" s="18" t="s">
        <v>446</v>
      </c>
      <c r="C226" s="18"/>
      <c r="D226" s="18"/>
      <c r="E226" s="18"/>
      <c r="F226" s="18"/>
      <c r="G226" s="18"/>
      <c r="H226" s="18"/>
      <c r="I226" s="18"/>
      <c r="J226" s="18"/>
      <c r="K226" s="18"/>
    </row>
    <row r="227" ht="14.25" customHeight="1">
      <c r="A227" s="18" t="s">
        <v>449</v>
      </c>
      <c r="B227" s="18" t="s">
        <v>450</v>
      </c>
      <c r="C227" s="18">
        <v>2.5</v>
      </c>
      <c r="D227" s="18">
        <v>2.5</v>
      </c>
      <c r="E227" s="18">
        <v>2.5</v>
      </c>
      <c r="F227" s="18">
        <v>2.5</v>
      </c>
      <c r="G227" s="18">
        <v>2.5</v>
      </c>
      <c r="H227" s="18">
        <v>2.5</v>
      </c>
      <c r="I227" s="18">
        <v>2.5</v>
      </c>
      <c r="J227" s="18">
        <v>2.5</v>
      </c>
      <c r="K227" s="18">
        <v>2.5</v>
      </c>
    </row>
    <row r="228" ht="14.25" customHeight="1">
      <c r="A228" s="18" t="s">
        <v>451</v>
      </c>
      <c r="B228" s="18" t="s">
        <v>452</v>
      </c>
      <c r="C228" s="18">
        <v>2.5</v>
      </c>
      <c r="D228" s="18">
        <v>2.5</v>
      </c>
      <c r="E228" s="18">
        <v>2.5</v>
      </c>
      <c r="F228" s="18">
        <v>2.5</v>
      </c>
      <c r="G228" s="18">
        <v>2.5</v>
      </c>
      <c r="H228" s="18">
        <v>2.5</v>
      </c>
      <c r="I228" s="18">
        <v>2.5</v>
      </c>
      <c r="J228" s="18">
        <v>2.5</v>
      </c>
      <c r="K228" s="18">
        <v>2.5</v>
      </c>
    </row>
    <row r="229" ht="14.25" customHeight="1">
      <c r="A229" s="18" t="s">
        <v>453</v>
      </c>
      <c r="B229" s="18" t="s">
        <v>454</v>
      </c>
      <c r="C229" s="18">
        <v>11.5</v>
      </c>
      <c r="D229" s="18">
        <v>10.9</v>
      </c>
      <c r="E229" s="18">
        <v>10.5</v>
      </c>
      <c r="F229" s="18">
        <v>10.3</v>
      </c>
      <c r="G229" s="18">
        <v>10.4</v>
      </c>
      <c r="H229" s="18">
        <v>10.5</v>
      </c>
      <c r="I229" s="18">
        <v>10.8</v>
      </c>
      <c r="J229" s="18">
        <v>9.8</v>
      </c>
      <c r="K229" s="18">
        <v>9.5</v>
      </c>
    </row>
    <row r="230" ht="14.25" customHeight="1">
      <c r="A230" s="18" t="s">
        <v>455</v>
      </c>
      <c r="B230" s="18" t="s">
        <v>456</v>
      </c>
      <c r="C230" s="18">
        <v>2.5</v>
      </c>
      <c r="D230" s="18">
        <v>3.7</v>
      </c>
      <c r="E230" s="18">
        <v>10.8</v>
      </c>
      <c r="F230" s="18">
        <v>16.8</v>
      </c>
      <c r="G230" s="18">
        <v>23.0</v>
      </c>
      <c r="H230" s="18">
        <v>22.7</v>
      </c>
      <c r="I230" s="18">
        <v>23.4</v>
      </c>
      <c r="J230" s="18">
        <v>21.6</v>
      </c>
      <c r="K230" s="18">
        <v>17.9</v>
      </c>
    </row>
    <row r="231" ht="14.25" customHeight="1">
      <c r="A231" s="18" t="s">
        <v>457</v>
      </c>
      <c r="B231" s="18" t="s">
        <v>458</v>
      </c>
      <c r="C231" s="18">
        <v>7.6</v>
      </c>
      <c r="D231" s="18">
        <v>7.5</v>
      </c>
      <c r="E231" s="18">
        <v>7.1</v>
      </c>
      <c r="F231" s="18">
        <v>6.8</v>
      </c>
      <c r="G231" s="18">
        <v>6.4</v>
      </c>
      <c r="H231" s="18">
        <v>6.0</v>
      </c>
      <c r="I231" s="18">
        <v>5.5</v>
      </c>
      <c r="J231" s="18">
        <v>5.1</v>
      </c>
      <c r="K231" s="18">
        <v>5.0</v>
      </c>
    </row>
    <row r="232" ht="14.25" customHeight="1">
      <c r="A232" s="18" t="s">
        <v>459</v>
      </c>
      <c r="B232" s="18" t="s">
        <v>460</v>
      </c>
      <c r="C232" s="18"/>
      <c r="D232" s="18"/>
      <c r="E232" s="18"/>
      <c r="F232" s="18"/>
      <c r="G232" s="18"/>
      <c r="H232" s="18"/>
      <c r="I232" s="18"/>
      <c r="J232" s="18"/>
      <c r="K232" s="18"/>
    </row>
    <row r="233" ht="14.25" customHeight="1">
      <c r="A233" s="18" t="s">
        <v>461</v>
      </c>
      <c r="B233" s="18" t="s">
        <v>462</v>
      </c>
      <c r="C233" s="18"/>
      <c r="D233" s="18"/>
      <c r="E233" s="18"/>
      <c r="F233" s="18"/>
      <c r="G233" s="18"/>
      <c r="H233" s="18"/>
      <c r="I233" s="18"/>
      <c r="J233" s="18"/>
      <c r="K233" s="18"/>
    </row>
    <row r="234" ht="14.25" customHeight="1">
      <c r="A234" s="18" t="s">
        <v>463</v>
      </c>
      <c r="B234" s="18" t="s">
        <v>464</v>
      </c>
      <c r="C234" s="18">
        <v>29.0</v>
      </c>
      <c r="D234" s="18">
        <v>32.9</v>
      </c>
      <c r="E234" s="18">
        <v>38.7</v>
      </c>
      <c r="F234" s="18">
        <v>42.0</v>
      </c>
      <c r="G234" s="18">
        <v>42.9</v>
      </c>
      <c r="H234" s="18">
        <v>41.1</v>
      </c>
      <c r="I234" s="18">
        <v>38.9</v>
      </c>
      <c r="J234" s="18">
        <v>36.0</v>
      </c>
      <c r="K234" s="18">
        <v>34.5</v>
      </c>
    </row>
    <row r="235" ht="14.25" customHeight="1">
      <c r="A235" s="18" t="s">
        <v>465</v>
      </c>
      <c r="B235" s="18" t="s">
        <v>466</v>
      </c>
      <c r="C235" s="18">
        <v>36.7</v>
      </c>
      <c r="D235" s="18">
        <v>35.0</v>
      </c>
      <c r="E235" s="18">
        <v>33.0</v>
      </c>
      <c r="F235" s="18">
        <v>31.2</v>
      </c>
      <c r="G235" s="18">
        <v>29.4</v>
      </c>
      <c r="H235" s="18">
        <v>28.8</v>
      </c>
      <c r="I235" s="18">
        <v>29.2</v>
      </c>
      <c r="J235" s="18">
        <v>30.0</v>
      </c>
      <c r="K235" s="18">
        <v>29.8</v>
      </c>
    </row>
    <row r="236" ht="14.25" customHeight="1">
      <c r="A236" s="14" t="s">
        <v>467</v>
      </c>
      <c r="B236" s="14" t="s">
        <v>468</v>
      </c>
      <c r="C236" s="18">
        <v>27.0</v>
      </c>
      <c r="D236" s="18">
        <v>30.0</v>
      </c>
      <c r="E236" s="18">
        <v>32.6</v>
      </c>
      <c r="F236" s="18">
        <v>35.1</v>
      </c>
      <c r="G236" s="18">
        <v>36.3</v>
      </c>
      <c r="H236" s="18">
        <v>38.2</v>
      </c>
      <c r="I236" s="18">
        <v>38.9</v>
      </c>
      <c r="J236" s="18">
        <v>39.1</v>
      </c>
      <c r="K236" s="18">
        <v>38.4</v>
      </c>
    </row>
    <row r="237" ht="14.2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</row>
    <row r="238" ht="14.25" customHeight="1">
      <c r="A238" s="18" t="s">
        <v>469</v>
      </c>
      <c r="B238" s="19"/>
      <c r="C238" s="19">
        <v>171.0</v>
      </c>
      <c r="D238" s="19">
        <v>171.0</v>
      </c>
      <c r="E238" s="19">
        <v>171.0</v>
      </c>
      <c r="F238" s="19">
        <v>171.0</v>
      </c>
      <c r="G238" s="19">
        <v>171.0</v>
      </c>
      <c r="H238" s="19">
        <v>171.0</v>
      </c>
      <c r="I238" s="19">
        <v>171.0</v>
      </c>
      <c r="J238" s="19">
        <v>172.0</v>
      </c>
      <c r="K238" s="19">
        <v>172.0</v>
      </c>
    </row>
    <row r="239" ht="14.2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</row>
    <row r="240" ht="14.2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</row>
    <row r="241" ht="14.2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</row>
    <row r="242" ht="14.2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</row>
    <row r="243" ht="14.2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</row>
    <row r="244" ht="14.2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</row>
    <row r="245" ht="14.2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</row>
    <row r="246" ht="14.2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</row>
    <row r="247" ht="14.2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</row>
    <row r="248" ht="14.2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</row>
    <row r="249" ht="14.2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</row>
    <row r="250" ht="14.2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</row>
    <row r="251" ht="14.2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</row>
    <row r="252" ht="14.2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</row>
    <row r="253" ht="14.2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</row>
    <row r="254" ht="14.2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</row>
    <row r="255" ht="14.2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</row>
    <row r="256" ht="14.2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</row>
    <row r="257" ht="14.2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</row>
    <row r="258" ht="14.2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</row>
    <row r="259" ht="14.2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</row>
    <row r="260" ht="14.2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</row>
    <row r="261" ht="14.2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</row>
    <row r="262" ht="14.2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</row>
    <row r="263" ht="14.2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</row>
    <row r="264" ht="14.2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</row>
    <row r="265" ht="14.2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</row>
    <row r="266" ht="14.2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</row>
    <row r="267" ht="14.2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</row>
    <row r="268" ht="14.2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</row>
    <row r="269" ht="14.2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</row>
    <row r="270" ht="14.2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</row>
    <row r="271" ht="14.2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</row>
    <row r="272" ht="14.2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</row>
    <row r="273" ht="14.2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</row>
    <row r="274" ht="14.2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</row>
    <row r="275" ht="14.2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</row>
    <row r="276" ht="14.2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</row>
    <row r="277" ht="14.2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</row>
    <row r="278" ht="14.2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</row>
    <row r="279" ht="14.2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</row>
    <row r="280" ht="14.2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</row>
    <row r="281" ht="14.2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</row>
    <row r="282" ht="14.2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</row>
    <row r="283" ht="14.2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</row>
    <row r="284" ht="14.2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</row>
    <row r="285" ht="14.2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</row>
    <row r="286" ht="14.2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</row>
    <row r="287" ht="14.2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</row>
    <row r="288" ht="14.2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</row>
    <row r="289" ht="14.2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</row>
    <row r="290" ht="14.2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</row>
    <row r="291" ht="14.2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</row>
    <row r="292" ht="14.2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</row>
    <row r="293" ht="14.2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</row>
    <row r="294" ht="14.2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</row>
    <row r="295" ht="14.2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</row>
    <row r="296" ht="14.2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</row>
    <row r="297" ht="14.2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</row>
    <row r="298" ht="14.2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</row>
    <row r="299" ht="14.2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</row>
    <row r="300" ht="14.2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</row>
    <row r="301" ht="14.2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</row>
    <row r="302" ht="14.2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</row>
    <row r="303" ht="14.2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</row>
    <row r="304" ht="14.2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</row>
    <row r="305" ht="14.2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</row>
    <row r="306" ht="14.2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</row>
    <row r="307" ht="14.2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</row>
    <row r="308" ht="14.2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</row>
    <row r="309" ht="14.2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</row>
    <row r="310" ht="14.2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</row>
    <row r="311" ht="14.2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</row>
    <row r="312" ht="14.2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</row>
    <row r="313" ht="14.2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</row>
    <row r="314" ht="14.2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</row>
    <row r="315" ht="14.2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</row>
    <row r="316" ht="14.2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</row>
    <row r="317" ht="14.2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</row>
    <row r="318" ht="14.2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</row>
    <row r="319" ht="14.2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</row>
    <row r="320" ht="14.2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</row>
    <row r="321" ht="14.2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</row>
    <row r="322" ht="14.2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</row>
    <row r="323" ht="14.2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</row>
    <row r="324" ht="14.2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</row>
    <row r="325" ht="14.2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</row>
    <row r="326" ht="14.2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</row>
    <row r="327" ht="14.2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</row>
    <row r="328" ht="14.2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</row>
    <row r="329" ht="14.2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</row>
    <row r="330" ht="14.2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</row>
    <row r="331" ht="14.2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</row>
    <row r="332" ht="14.2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</row>
    <row r="333" ht="14.2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</row>
    <row r="334" ht="14.2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</row>
    <row r="335" ht="14.2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</row>
    <row r="336" ht="14.2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</row>
    <row r="337" ht="14.2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</row>
    <row r="338" ht="14.2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</row>
    <row r="339" ht="14.2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</row>
    <row r="340" ht="14.2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</row>
    <row r="341" ht="14.2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</row>
    <row r="342" ht="14.2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</row>
    <row r="343" ht="14.2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</row>
    <row r="344" ht="14.2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</row>
    <row r="345" ht="14.2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</row>
    <row r="346" ht="14.2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</row>
    <row r="347" ht="14.2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</row>
    <row r="348" ht="14.2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</row>
    <row r="349" ht="14.2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</row>
    <row r="350" ht="14.2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</row>
    <row r="351" ht="14.2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</row>
    <row r="352" ht="14.2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</row>
    <row r="353" ht="14.2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</row>
    <row r="354" ht="14.2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</row>
    <row r="355" ht="14.2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</row>
    <row r="356" ht="14.2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</row>
    <row r="357" ht="14.2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</row>
    <row r="358" ht="14.2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</row>
    <row r="359" ht="14.2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</row>
    <row r="360" ht="14.2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</row>
    <row r="361" ht="14.2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</row>
    <row r="362" ht="14.2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</row>
    <row r="363" ht="14.2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</row>
    <row r="364" ht="14.2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</row>
    <row r="365" ht="14.2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</row>
    <row r="366" ht="14.2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</row>
    <row r="367" ht="14.2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</row>
    <row r="368" ht="14.2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</row>
    <row r="369" ht="14.2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</row>
    <row r="370" ht="14.2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</row>
    <row r="371" ht="14.2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</row>
    <row r="372" ht="14.2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</row>
    <row r="373" ht="14.2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</row>
    <row r="374" ht="14.2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</row>
    <row r="375" ht="14.2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</row>
    <row r="376" ht="14.2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</row>
    <row r="377" ht="14.2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</row>
    <row r="378" ht="14.2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</row>
    <row r="379" ht="14.2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</row>
    <row r="380" ht="14.2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</row>
    <row r="381" ht="14.2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</row>
    <row r="382" ht="14.2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</row>
    <row r="383" ht="14.2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</row>
    <row r="384" ht="14.2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</row>
    <row r="385" ht="14.2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</row>
    <row r="386" ht="14.2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</row>
    <row r="387" ht="14.2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</row>
    <row r="388" ht="14.2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</row>
    <row r="389" ht="14.2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</row>
    <row r="390" ht="14.2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</row>
    <row r="391" ht="14.2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</row>
    <row r="392" ht="14.2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</row>
    <row r="393" ht="14.2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</row>
    <row r="394" ht="14.2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</row>
    <row r="395" ht="14.2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</row>
    <row r="396" ht="14.2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</row>
    <row r="397" ht="14.2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</row>
    <row r="398" ht="14.2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</row>
    <row r="399" ht="14.2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</row>
    <row r="400" ht="14.2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</row>
    <row r="401" ht="14.2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</row>
    <row r="402" ht="14.2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</row>
    <row r="403" ht="14.2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</row>
    <row r="404" ht="14.2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</row>
    <row r="405" ht="14.2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</row>
    <row r="406" ht="14.2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</row>
    <row r="407" ht="14.2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</row>
    <row r="408" ht="14.2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</row>
    <row r="409" ht="14.2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</row>
    <row r="410" ht="14.2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</row>
    <row r="411" ht="14.2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</row>
    <row r="412" ht="14.2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</row>
    <row r="413" ht="14.2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</row>
    <row r="414" ht="14.2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</row>
    <row r="415" ht="14.2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</row>
    <row r="416" ht="14.2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</row>
    <row r="417" ht="14.2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</row>
    <row r="418" ht="14.2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</row>
    <row r="419" ht="14.2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</row>
    <row r="420" ht="14.2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</row>
    <row r="421" ht="14.2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</row>
    <row r="422" ht="14.2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</row>
    <row r="423" ht="14.2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</row>
    <row r="424" ht="14.2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</row>
    <row r="425" ht="14.2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</row>
    <row r="426" ht="14.2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</row>
    <row r="427" ht="14.2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</row>
    <row r="428" ht="14.2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</row>
    <row r="429" ht="14.2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</row>
    <row r="430" ht="14.2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</row>
    <row r="431" ht="14.2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</row>
    <row r="432" ht="14.2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</row>
    <row r="433" ht="14.2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</row>
    <row r="434" ht="14.2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</row>
    <row r="435" ht="14.2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</row>
    <row r="436" ht="14.2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</row>
    <row r="437" ht="14.2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</row>
    <row r="438" ht="14.2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</row>
    <row r="439" ht="14.2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</row>
    <row r="440" ht="14.2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</row>
    <row r="441" ht="14.2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</row>
    <row r="442" ht="14.2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</row>
    <row r="443" ht="14.2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</row>
    <row r="444" ht="14.2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</row>
    <row r="445" ht="14.2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</row>
    <row r="446" ht="14.2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</row>
    <row r="447" ht="14.2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</row>
    <row r="448" ht="14.2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</row>
    <row r="449" ht="14.2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</row>
    <row r="450" ht="14.2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</row>
    <row r="451" ht="14.2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</row>
    <row r="452" ht="14.2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</row>
    <row r="453" ht="14.2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</row>
    <row r="454" ht="14.2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</row>
    <row r="455" ht="14.2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</row>
    <row r="456" ht="14.2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</row>
    <row r="457" ht="14.2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</row>
    <row r="458" ht="14.2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</row>
    <row r="459" ht="14.2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</row>
    <row r="460" ht="14.2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</row>
    <row r="461" ht="14.2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</row>
    <row r="462" ht="14.2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</row>
    <row r="463" ht="14.2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</row>
    <row r="464" ht="14.2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</row>
    <row r="465" ht="14.2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</row>
    <row r="466" ht="14.2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</row>
    <row r="467" ht="14.2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</row>
    <row r="468" ht="14.2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</row>
    <row r="469" ht="14.2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</row>
    <row r="470" ht="14.2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</row>
    <row r="471" ht="14.2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</row>
    <row r="472" ht="14.2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</row>
    <row r="473" ht="14.2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</row>
    <row r="474" ht="14.2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</row>
    <row r="475" ht="14.2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</row>
    <row r="476" ht="14.2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</row>
    <row r="477" ht="14.2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</row>
    <row r="478" ht="14.2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</row>
    <row r="479" ht="14.2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</row>
    <row r="480" ht="14.2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</row>
    <row r="481" ht="14.2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</row>
    <row r="482" ht="14.2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</row>
    <row r="483" ht="14.2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</row>
    <row r="484" ht="14.2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</row>
    <row r="485" ht="14.2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</row>
    <row r="486" ht="14.2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</row>
    <row r="487" ht="14.2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</row>
    <row r="488" ht="14.2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</row>
    <row r="489" ht="14.2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</row>
    <row r="490" ht="14.2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</row>
    <row r="491" ht="14.2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</row>
    <row r="492" ht="14.2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</row>
    <row r="493" ht="14.2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</row>
    <row r="494" ht="14.2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</row>
    <row r="495" ht="14.2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</row>
    <row r="496" ht="14.2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</row>
    <row r="497" ht="14.2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</row>
    <row r="498" ht="14.2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</row>
    <row r="499" ht="14.2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</row>
    <row r="500" ht="14.2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</row>
    <row r="501" ht="14.2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</row>
    <row r="502" ht="14.2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</row>
    <row r="503" ht="14.2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</row>
    <row r="504" ht="14.2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</row>
    <row r="505" ht="14.2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</row>
    <row r="506" ht="14.2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</row>
    <row r="507" ht="14.2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</row>
    <row r="508" ht="14.2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</row>
    <row r="509" ht="14.2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</row>
    <row r="510" ht="14.2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</row>
    <row r="511" ht="14.2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</row>
    <row r="512" ht="14.2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</row>
    <row r="513" ht="14.2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</row>
    <row r="514" ht="14.2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</row>
    <row r="515" ht="14.2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</row>
    <row r="516" ht="14.2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</row>
    <row r="517" ht="14.2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</row>
    <row r="518" ht="14.2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</row>
    <row r="519" ht="14.2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</row>
    <row r="520" ht="14.2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</row>
    <row r="521" ht="14.2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</row>
    <row r="522" ht="14.2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</row>
    <row r="523" ht="14.2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</row>
    <row r="524" ht="14.2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</row>
    <row r="525" ht="14.2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</row>
    <row r="526" ht="14.2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</row>
    <row r="527" ht="14.2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</row>
    <row r="528" ht="14.2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</row>
    <row r="529" ht="14.2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</row>
    <row r="530" ht="14.2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</row>
    <row r="531" ht="14.2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</row>
    <row r="532" ht="14.2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</row>
    <row r="533" ht="14.2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</row>
    <row r="534" ht="14.2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</row>
    <row r="535" ht="14.2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</row>
    <row r="536" ht="14.2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</row>
    <row r="537" ht="14.2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</row>
    <row r="538" ht="14.2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</row>
    <row r="539" ht="14.2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</row>
    <row r="540" ht="14.2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</row>
    <row r="541" ht="14.2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</row>
    <row r="542" ht="14.2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</row>
    <row r="543" ht="14.2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</row>
    <row r="544" ht="14.2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</row>
    <row r="545" ht="14.2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</row>
    <row r="546" ht="14.2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</row>
    <row r="547" ht="14.2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</row>
    <row r="548" ht="14.2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</row>
    <row r="549" ht="14.2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</row>
    <row r="550" ht="14.2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</row>
    <row r="551" ht="14.2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</row>
    <row r="552" ht="14.2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</row>
    <row r="553" ht="14.2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</row>
    <row r="554" ht="14.2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</row>
    <row r="555" ht="14.2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</row>
    <row r="556" ht="14.2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</row>
    <row r="557" ht="14.2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</row>
    <row r="558" ht="14.2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</row>
    <row r="559" ht="14.2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</row>
    <row r="560" ht="14.2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</row>
    <row r="561" ht="14.2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</row>
    <row r="562" ht="14.2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</row>
    <row r="563" ht="14.2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</row>
    <row r="564" ht="14.2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</row>
    <row r="565" ht="14.2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</row>
    <row r="566" ht="14.2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</row>
    <row r="567" ht="14.2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</row>
    <row r="568" ht="14.2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</row>
    <row r="569" ht="14.2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</row>
    <row r="570" ht="14.2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</row>
    <row r="571" ht="14.2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</row>
    <row r="572" ht="14.2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</row>
    <row r="573" ht="14.2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</row>
    <row r="574" ht="14.2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</row>
    <row r="575" ht="14.2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</row>
    <row r="576" ht="14.2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</row>
    <row r="577" ht="14.2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</row>
    <row r="578" ht="14.2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</row>
    <row r="579" ht="14.2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</row>
    <row r="580" ht="14.2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</row>
    <row r="581" ht="14.2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</row>
    <row r="582" ht="14.2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</row>
    <row r="583" ht="14.2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</row>
    <row r="584" ht="14.2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</row>
    <row r="585" ht="14.2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</row>
    <row r="586" ht="14.2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</row>
    <row r="587" ht="14.2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</row>
    <row r="588" ht="14.2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</row>
    <row r="589" ht="14.2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</row>
    <row r="590" ht="14.2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</row>
    <row r="591" ht="14.2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</row>
    <row r="592" ht="14.2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</row>
    <row r="593" ht="14.2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</row>
    <row r="594" ht="14.2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</row>
    <row r="595" ht="14.2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</row>
    <row r="596" ht="14.2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</row>
    <row r="597" ht="14.2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</row>
    <row r="598" ht="14.2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</row>
    <row r="599" ht="14.2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</row>
    <row r="600" ht="14.2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</row>
    <row r="601" ht="14.2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</row>
    <row r="602" ht="14.2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</row>
    <row r="603" ht="14.2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</row>
    <row r="604" ht="14.2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</row>
    <row r="605" ht="14.2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</row>
    <row r="606" ht="14.2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</row>
    <row r="607" ht="14.2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</row>
    <row r="608" ht="14.2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</row>
    <row r="609" ht="14.2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</row>
    <row r="610" ht="14.2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</row>
    <row r="611" ht="14.2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</row>
    <row r="612" ht="14.2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</row>
    <row r="613" ht="14.2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</row>
    <row r="614" ht="14.2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</row>
    <row r="615" ht="14.2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</row>
    <row r="616" ht="14.2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</row>
    <row r="617" ht="14.2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</row>
    <row r="618" ht="14.2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</row>
    <row r="619" ht="14.2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</row>
    <row r="620" ht="14.2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</row>
    <row r="621" ht="14.2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</row>
    <row r="622" ht="14.2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</row>
    <row r="623" ht="14.2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</row>
    <row r="624" ht="14.2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</row>
    <row r="625" ht="14.2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</row>
    <row r="626" ht="14.2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</row>
    <row r="627" ht="14.2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</row>
    <row r="628" ht="14.2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</row>
    <row r="629" ht="14.2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</row>
    <row r="630" ht="14.2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</row>
    <row r="631" ht="14.2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</row>
    <row r="632" ht="14.2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</row>
    <row r="633" ht="14.2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</row>
    <row r="634" ht="14.2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</row>
    <row r="635" ht="14.2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</row>
    <row r="636" ht="14.2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</row>
    <row r="637" ht="14.2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</row>
    <row r="638" ht="14.2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</row>
    <row r="639" ht="14.2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</row>
    <row r="640" ht="14.2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</row>
    <row r="641" ht="14.2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</row>
    <row r="642" ht="14.2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</row>
    <row r="643" ht="14.2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</row>
    <row r="644" ht="14.2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</row>
    <row r="645" ht="14.2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</row>
    <row r="646" ht="14.2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</row>
    <row r="647" ht="14.2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</row>
    <row r="648" ht="14.2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</row>
    <row r="649" ht="14.2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</row>
    <row r="650" ht="14.2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</row>
    <row r="651" ht="14.2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</row>
    <row r="652" ht="14.2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</row>
    <row r="653" ht="14.2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</row>
    <row r="654" ht="14.2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</row>
    <row r="655" ht="14.2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</row>
    <row r="656" ht="14.2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</row>
    <row r="657" ht="14.2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</row>
    <row r="658" ht="14.2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</row>
    <row r="659" ht="14.2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</row>
    <row r="660" ht="14.2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</row>
    <row r="661" ht="14.2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</row>
    <row r="662" ht="14.2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</row>
    <row r="663" ht="14.2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</row>
    <row r="664" ht="14.2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</row>
    <row r="665" ht="14.2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</row>
    <row r="666" ht="14.2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</row>
    <row r="667" ht="14.2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</row>
    <row r="668" ht="14.2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</row>
    <row r="669" ht="14.2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</row>
    <row r="670" ht="14.2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</row>
    <row r="671" ht="14.2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</row>
    <row r="672" ht="14.2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</row>
    <row r="673" ht="14.2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</row>
    <row r="674" ht="14.2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</row>
    <row r="675" ht="14.2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</row>
    <row r="676" ht="14.2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</row>
    <row r="677" ht="14.2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</row>
    <row r="678" ht="14.2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</row>
    <row r="679" ht="14.2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</row>
    <row r="680" ht="14.2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</row>
    <row r="681" ht="14.2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</row>
    <row r="682" ht="14.2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</row>
    <row r="683" ht="14.2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</row>
    <row r="684" ht="14.2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</row>
    <row r="685" ht="14.2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</row>
    <row r="686" ht="14.2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</row>
    <row r="687" ht="14.2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</row>
    <row r="688" ht="14.2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</row>
    <row r="689" ht="14.2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</row>
    <row r="690" ht="14.2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</row>
    <row r="691" ht="14.2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</row>
    <row r="692" ht="14.2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</row>
    <row r="693" ht="14.2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</row>
    <row r="694" ht="14.2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</row>
    <row r="695" ht="14.2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</row>
    <row r="696" ht="14.2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</row>
    <row r="697" ht="14.2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</row>
    <row r="698" ht="14.2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</row>
    <row r="699" ht="14.2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</row>
    <row r="700" ht="14.2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</row>
    <row r="701" ht="14.2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</row>
    <row r="702" ht="14.2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</row>
    <row r="703" ht="14.2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</row>
    <row r="704" ht="14.2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</row>
    <row r="705" ht="14.2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</row>
    <row r="706" ht="14.2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</row>
    <row r="707" ht="14.2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</row>
    <row r="708" ht="14.2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</row>
    <row r="709" ht="14.2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</row>
    <row r="710" ht="14.2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</row>
    <row r="711" ht="14.2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</row>
    <row r="712" ht="14.2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</row>
    <row r="713" ht="14.2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</row>
    <row r="714" ht="14.2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</row>
    <row r="715" ht="14.2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</row>
    <row r="716" ht="14.2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</row>
    <row r="717" ht="14.2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</row>
    <row r="718" ht="14.2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</row>
    <row r="719" ht="14.2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</row>
    <row r="720" ht="14.2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</row>
    <row r="721" ht="14.2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</row>
    <row r="722" ht="14.2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</row>
    <row r="723" ht="14.2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</row>
    <row r="724" ht="14.2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</row>
    <row r="725" ht="14.2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</row>
    <row r="726" ht="14.2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</row>
    <row r="727" ht="14.2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</row>
    <row r="728" ht="14.2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</row>
    <row r="729" ht="14.2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</row>
    <row r="730" ht="14.2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</row>
    <row r="731" ht="14.2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</row>
    <row r="732" ht="14.2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</row>
    <row r="733" ht="14.2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</row>
    <row r="734" ht="14.2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</row>
    <row r="735" ht="14.2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</row>
    <row r="736" ht="14.2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</row>
    <row r="737" ht="14.2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</row>
    <row r="738" ht="14.2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</row>
    <row r="739" ht="14.2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</row>
    <row r="740" ht="14.2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</row>
    <row r="741" ht="14.2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</row>
    <row r="742" ht="14.2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</row>
    <row r="743" ht="14.2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</row>
    <row r="744" ht="14.2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</row>
    <row r="745" ht="14.2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</row>
    <row r="746" ht="14.2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</row>
    <row r="747" ht="14.2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</row>
    <row r="748" ht="14.2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</row>
    <row r="749" ht="14.2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</row>
    <row r="750" ht="14.2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</row>
    <row r="751" ht="14.2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</row>
    <row r="752" ht="14.2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</row>
    <row r="753" ht="14.2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</row>
    <row r="754" ht="14.2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</row>
    <row r="755" ht="14.2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</row>
    <row r="756" ht="14.2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</row>
    <row r="757" ht="14.2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</row>
    <row r="758" ht="14.2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</row>
    <row r="759" ht="14.2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</row>
    <row r="760" ht="14.2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</row>
    <row r="761" ht="14.2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</row>
    <row r="762" ht="14.2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</row>
    <row r="763" ht="14.2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</row>
    <row r="764" ht="14.2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</row>
    <row r="765" ht="14.2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</row>
    <row r="766" ht="14.2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</row>
    <row r="767" ht="14.2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</row>
    <row r="768" ht="14.2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</row>
    <row r="769" ht="14.2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</row>
    <row r="770" ht="14.2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</row>
    <row r="771" ht="14.2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</row>
    <row r="772" ht="14.2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</row>
    <row r="773" ht="14.2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</row>
    <row r="774" ht="14.2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</row>
    <row r="775" ht="14.2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</row>
    <row r="776" ht="14.2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</row>
    <row r="777" ht="14.2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</row>
    <row r="778" ht="14.2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</row>
    <row r="779" ht="14.2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</row>
    <row r="780" ht="14.2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</row>
    <row r="781" ht="14.2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</row>
    <row r="782" ht="14.2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</row>
    <row r="783" ht="14.2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</row>
    <row r="784" ht="14.2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</row>
    <row r="785" ht="14.2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</row>
    <row r="786" ht="14.2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</row>
    <row r="787" ht="14.2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</row>
    <row r="788" ht="14.2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</row>
    <row r="789" ht="14.2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</row>
    <row r="790" ht="14.2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</row>
    <row r="791" ht="14.2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</row>
    <row r="792" ht="14.2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</row>
    <row r="793" ht="14.2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</row>
    <row r="794" ht="14.2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</row>
    <row r="795" ht="14.2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</row>
    <row r="796" ht="14.2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</row>
    <row r="797" ht="14.2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</row>
    <row r="798" ht="14.2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</row>
    <row r="799" ht="14.2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</row>
    <row r="800" ht="14.2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</row>
    <row r="801" ht="14.2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</row>
    <row r="802" ht="14.2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</row>
    <row r="803" ht="14.2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</row>
    <row r="804" ht="14.2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</row>
    <row r="805" ht="14.2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</row>
    <row r="806" ht="14.2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</row>
    <row r="807" ht="14.2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</row>
    <row r="808" ht="14.2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</row>
    <row r="809" ht="14.2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</row>
    <row r="810" ht="14.2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</row>
    <row r="811" ht="14.2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</row>
    <row r="812" ht="14.2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</row>
    <row r="813" ht="14.2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</row>
    <row r="814" ht="14.2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</row>
    <row r="815" ht="14.2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</row>
    <row r="816" ht="14.2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</row>
    <row r="817" ht="14.2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</row>
    <row r="818" ht="14.2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</row>
    <row r="819" ht="14.2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</row>
    <row r="820" ht="14.2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</row>
    <row r="821" ht="14.2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</row>
    <row r="822" ht="14.2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</row>
    <row r="823" ht="14.2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</row>
    <row r="824" ht="14.2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</row>
    <row r="825" ht="14.2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</row>
    <row r="826" ht="14.2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</row>
    <row r="827" ht="14.2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</row>
    <row r="828" ht="14.2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</row>
    <row r="829" ht="14.2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</row>
    <row r="830" ht="14.2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</row>
    <row r="831" ht="14.2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</row>
    <row r="832" ht="14.2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</row>
    <row r="833" ht="14.2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</row>
    <row r="834" ht="14.2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</row>
    <row r="835" ht="14.2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</row>
    <row r="836" ht="14.2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</row>
    <row r="837" ht="14.2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</row>
    <row r="838" ht="14.2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</row>
    <row r="839" ht="14.2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</row>
    <row r="840" ht="14.2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</row>
    <row r="841" ht="14.2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</row>
    <row r="842" ht="14.2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</row>
    <row r="843" ht="14.2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</row>
    <row r="844" ht="14.2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</row>
    <row r="845" ht="14.2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</row>
    <row r="846" ht="14.2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</row>
    <row r="847" ht="14.2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</row>
    <row r="848" ht="14.2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</row>
    <row r="849" ht="14.2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</row>
    <row r="850" ht="14.2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</row>
    <row r="851" ht="14.2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</row>
    <row r="852" ht="14.2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</row>
    <row r="853" ht="14.2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</row>
    <row r="854" ht="14.2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</row>
    <row r="855" ht="14.2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</row>
    <row r="856" ht="14.2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</row>
    <row r="857" ht="14.2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</row>
    <row r="858" ht="14.2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</row>
    <row r="859" ht="14.2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</row>
    <row r="860" ht="14.2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</row>
    <row r="861" ht="14.2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</row>
    <row r="862" ht="14.2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</row>
    <row r="863" ht="14.2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</row>
    <row r="864" ht="14.2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</row>
    <row r="865" ht="14.2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</row>
    <row r="866" ht="14.2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</row>
    <row r="867" ht="14.2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</row>
    <row r="868" ht="14.2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</row>
    <row r="869" ht="14.2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</row>
    <row r="870" ht="14.2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</row>
    <row r="871" ht="14.2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</row>
    <row r="872" ht="14.2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</row>
    <row r="873" ht="14.2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</row>
    <row r="874" ht="14.2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</row>
    <row r="875" ht="14.2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</row>
    <row r="876" ht="14.2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</row>
    <row r="877" ht="14.2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</row>
    <row r="878" ht="14.2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</row>
    <row r="879" ht="14.2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</row>
    <row r="880" ht="14.2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</row>
    <row r="881" ht="14.2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</row>
    <row r="882" ht="14.2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</row>
    <row r="883" ht="14.2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</row>
    <row r="884" ht="14.2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</row>
    <row r="885" ht="14.2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</row>
    <row r="886" ht="14.2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</row>
    <row r="887" ht="14.2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</row>
    <row r="888" ht="14.2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</row>
    <row r="889" ht="14.2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</row>
    <row r="890" ht="14.2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</row>
    <row r="891" ht="14.2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</row>
    <row r="892" ht="14.2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</row>
    <row r="893" ht="14.2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</row>
    <row r="894" ht="14.2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</row>
    <row r="895" ht="14.2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</row>
    <row r="896" ht="14.2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</row>
    <row r="897" ht="14.2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</row>
    <row r="898" ht="14.2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</row>
    <row r="899" ht="14.2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</row>
    <row r="900" ht="14.2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</row>
    <row r="901" ht="14.2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</row>
    <row r="902" ht="14.2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</row>
    <row r="903" ht="14.2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</row>
    <row r="904" ht="14.2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</row>
    <row r="905" ht="14.2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</row>
    <row r="906" ht="14.2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</row>
    <row r="907" ht="14.2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</row>
    <row r="908" ht="14.2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</row>
    <row r="909" ht="14.2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</row>
    <row r="910" ht="14.2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</row>
    <row r="911" ht="14.2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</row>
    <row r="912" ht="14.2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</row>
    <row r="913" ht="14.2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</row>
    <row r="914" ht="14.2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</row>
    <row r="915" ht="14.2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</row>
    <row r="916" ht="14.2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</row>
    <row r="917" ht="14.2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</row>
    <row r="918" ht="14.2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</row>
    <row r="919" ht="14.2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</row>
    <row r="920" ht="14.2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</row>
    <row r="921" ht="14.2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</row>
    <row r="922" ht="14.2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</row>
    <row r="923" ht="14.2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</row>
    <row r="924" ht="14.2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</row>
    <row r="925" ht="14.2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</row>
    <row r="926" ht="14.2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</row>
    <row r="927" ht="14.2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</row>
    <row r="928" ht="14.2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</row>
    <row r="929" ht="14.2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</row>
    <row r="930" ht="14.2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</row>
    <row r="931" ht="14.2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</row>
    <row r="932" ht="14.2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</row>
    <row r="933" ht="14.2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</row>
    <row r="934" ht="14.2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</row>
    <row r="935" ht="14.2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</row>
    <row r="936" ht="14.2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</row>
    <row r="937" ht="14.2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</row>
    <row r="938" ht="14.2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</row>
    <row r="939" ht="14.2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</row>
    <row r="940" ht="14.2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</row>
    <row r="941" ht="14.2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</row>
    <row r="942" ht="14.2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</row>
    <row r="943" ht="14.2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</row>
    <row r="944" ht="14.2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</row>
    <row r="945" ht="14.2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</row>
    <row r="946" ht="14.2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</row>
    <row r="947" ht="14.2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</row>
    <row r="948" ht="14.2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</row>
    <row r="949" ht="14.2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</row>
    <row r="950" ht="14.2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</row>
    <row r="951" ht="14.2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</row>
    <row r="952" ht="14.2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</row>
    <row r="953" ht="14.2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</row>
    <row r="954" ht="14.2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</row>
    <row r="955" ht="14.2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</row>
    <row r="956" ht="14.2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</row>
    <row r="957" ht="14.2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</row>
    <row r="958" ht="14.2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</row>
    <row r="959" ht="14.2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</row>
    <row r="960" ht="14.2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</row>
    <row r="961" ht="14.2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</row>
    <row r="962" ht="14.2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</row>
    <row r="963" ht="14.2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</row>
    <row r="964" ht="14.2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</row>
    <row r="965" ht="14.2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</row>
    <row r="966" ht="14.2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</row>
    <row r="967" ht="14.2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</row>
    <row r="968" ht="14.2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</row>
    <row r="969" ht="14.2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</row>
    <row r="970" ht="14.2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</row>
    <row r="971" ht="14.2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</row>
    <row r="972" ht="14.2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</row>
    <row r="973" ht="14.2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</row>
    <row r="974" ht="14.2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</row>
    <row r="975" ht="14.2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</row>
    <row r="976" ht="14.2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</row>
    <row r="977" ht="14.2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</row>
    <row r="978" ht="14.2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</row>
    <row r="979" ht="14.2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</row>
    <row r="980" ht="14.2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</row>
    <row r="981" ht="14.2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</row>
    <row r="982" ht="14.2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</row>
    <row r="983" ht="14.2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</row>
    <row r="984" ht="14.2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</row>
    <row r="985" ht="14.2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</row>
    <row r="986" ht="14.2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</row>
    <row r="987" ht="14.2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</row>
    <row r="988" ht="14.2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</row>
    <row r="989" ht="14.2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</row>
    <row r="990" ht="14.2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</row>
    <row r="991" ht="14.2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</row>
    <row r="992" ht="14.2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</row>
    <row r="993" ht="14.2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</row>
    <row r="994" ht="14.2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</row>
    <row r="995" ht="14.2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</row>
    <row r="996" ht="14.2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</row>
    <row r="997" ht="14.2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</row>
    <row r="998" ht="14.2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</row>
    <row r="999" ht="14.2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</row>
    <row r="1000" ht="14.2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</row>
  </sheetData>
  <mergeCells count="1">
    <mergeCell ref="C1:K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2.0"/>
    <col customWidth="1" min="2" max="2" width="7.38"/>
    <col customWidth="1" min="3" max="12" width="9.88"/>
    <col customWidth="1" min="13" max="26" width="8.63"/>
  </cols>
  <sheetData>
    <row r="1" ht="14.25" customHeight="1">
      <c r="B1" s="9"/>
      <c r="C1" s="20" t="s">
        <v>476</v>
      </c>
      <c r="D1" s="3"/>
      <c r="E1" s="3"/>
      <c r="F1" s="3"/>
      <c r="G1" s="3"/>
      <c r="H1" s="3"/>
      <c r="I1" s="3"/>
      <c r="J1" s="3"/>
      <c r="K1" s="4"/>
      <c r="L1" s="21"/>
    </row>
    <row r="2" ht="14.25" customHeight="1">
      <c r="A2" s="22" t="s">
        <v>1</v>
      </c>
      <c r="B2" s="23" t="s">
        <v>2</v>
      </c>
      <c r="C2" s="24">
        <v>2013.0</v>
      </c>
      <c r="D2" s="24">
        <v>2014.0</v>
      </c>
      <c r="E2" s="24">
        <v>2015.0</v>
      </c>
      <c r="F2" s="24">
        <v>2016.0</v>
      </c>
      <c r="G2" s="24">
        <v>2017.0</v>
      </c>
      <c r="H2" s="24">
        <v>2018.0</v>
      </c>
      <c r="I2" s="24">
        <v>2019.0</v>
      </c>
      <c r="J2" s="24">
        <v>2020.0</v>
      </c>
      <c r="K2" s="24">
        <v>2021.0</v>
      </c>
      <c r="L2" s="24">
        <v>2022.0</v>
      </c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26" t="s">
        <v>3</v>
      </c>
      <c r="B3" s="27" t="s">
        <v>4</v>
      </c>
      <c r="C3" s="26">
        <v>2.396188</v>
      </c>
      <c r="D3" s="26">
        <v>2.396188</v>
      </c>
      <c r="E3" s="26">
        <v>2.396188</v>
      </c>
      <c r="F3" s="26">
        <v>54.47907525907931</v>
      </c>
      <c r="G3" s="26">
        <v>54.47907525907931</v>
      </c>
      <c r="H3" s="26">
        <v>54.47907525907931</v>
      </c>
      <c r="I3" s="26">
        <v>54.47907525907931</v>
      </c>
      <c r="J3" s="26">
        <v>54.47907525907931</v>
      </c>
      <c r="K3" s="26">
        <v>54.47907525907931</v>
      </c>
      <c r="L3" s="26">
        <v>54.47907525907931</v>
      </c>
    </row>
    <row r="4" ht="14.25" customHeight="1">
      <c r="A4" s="26" t="s">
        <v>5</v>
      </c>
      <c r="B4" s="27" t="s">
        <v>6</v>
      </c>
      <c r="C4" s="26">
        <v>1.3068736530840397</v>
      </c>
      <c r="D4" s="26">
        <v>1.3068736530840397</v>
      </c>
      <c r="E4" s="26">
        <v>1.3068736530840397</v>
      </c>
      <c r="F4" s="26">
        <v>1.3068736530840397</v>
      </c>
      <c r="G4" s="26">
        <v>1.3068736530840397</v>
      </c>
      <c r="H4" s="26">
        <v>0.13925180925598</v>
      </c>
      <c r="I4" s="26">
        <v>0.13925180925598</v>
      </c>
      <c r="J4" s="26">
        <v>0.13925180925598</v>
      </c>
      <c r="K4" s="26">
        <v>0.13925180925598</v>
      </c>
      <c r="L4" s="26">
        <v>0.13925180925598</v>
      </c>
    </row>
    <row r="5" ht="14.25" customHeight="1">
      <c r="A5" s="26" t="s">
        <v>7</v>
      </c>
      <c r="B5" s="27" t="s">
        <v>8</v>
      </c>
      <c r="C5" s="26">
        <v>0.8132022805511951</v>
      </c>
      <c r="D5" s="26">
        <v>0.8132022805511951</v>
      </c>
      <c r="E5" s="26">
        <v>0.8132022805511951</v>
      </c>
      <c r="F5" s="26">
        <v>0.8132022805511951</v>
      </c>
      <c r="G5" s="26">
        <v>0.8132022805511951</v>
      </c>
      <c r="H5" s="26">
        <v>0.8132022805511951</v>
      </c>
      <c r="I5" s="26">
        <v>0.44245002649198</v>
      </c>
      <c r="J5" s="26">
        <v>0.44245002649198</v>
      </c>
      <c r="K5" s="26">
        <v>0.44245002649198</v>
      </c>
      <c r="L5" s="26">
        <v>0.44245002649198</v>
      </c>
    </row>
    <row r="6" ht="14.25" customHeight="1">
      <c r="A6" s="26" t="s">
        <v>9</v>
      </c>
      <c r="B6" s="27" t="s">
        <v>10</v>
      </c>
      <c r="C6" s="26"/>
      <c r="D6" s="26"/>
      <c r="E6" s="26"/>
      <c r="F6" s="26"/>
      <c r="G6" s="26"/>
      <c r="H6" s="26"/>
      <c r="I6" s="26"/>
      <c r="J6" s="26"/>
      <c r="K6" s="26"/>
      <c r="L6" s="26"/>
    </row>
    <row r="7" ht="14.25" customHeight="1">
      <c r="A7" s="28" t="s">
        <v>11</v>
      </c>
      <c r="B7" s="29" t="s">
        <v>12</v>
      </c>
      <c r="C7" s="26"/>
      <c r="D7" s="26"/>
      <c r="E7" s="26"/>
      <c r="F7" s="26"/>
      <c r="G7" s="26"/>
      <c r="H7" s="26"/>
      <c r="I7" s="26"/>
      <c r="J7" s="26"/>
      <c r="K7" s="26"/>
      <c r="L7" s="26"/>
    </row>
    <row r="8" ht="14.25" customHeight="1">
      <c r="A8" s="26" t="s">
        <v>13</v>
      </c>
      <c r="B8" s="27" t="s">
        <v>14</v>
      </c>
      <c r="C8" s="26"/>
      <c r="D8" s="26"/>
      <c r="E8" s="26"/>
      <c r="F8" s="26">
        <v>44.12818221536702</v>
      </c>
      <c r="G8" s="26">
        <v>44.12818221536702</v>
      </c>
      <c r="H8" s="26">
        <v>44.12818221536702</v>
      </c>
      <c r="I8" s="26">
        <v>44.12818221536702</v>
      </c>
      <c r="J8" s="26">
        <v>44.12818221536702</v>
      </c>
      <c r="K8" s="26">
        <v>44.12818221536702</v>
      </c>
      <c r="L8" s="26">
        <v>44.12818221536702</v>
      </c>
    </row>
    <row r="9" ht="14.25" customHeight="1">
      <c r="A9" s="26" t="s">
        <v>15</v>
      </c>
      <c r="B9" s="27" t="s">
        <v>16</v>
      </c>
      <c r="C9" s="26"/>
      <c r="D9" s="26"/>
      <c r="E9" s="26"/>
      <c r="F9" s="26"/>
      <c r="G9" s="26"/>
      <c r="H9" s="26"/>
      <c r="I9" s="26"/>
      <c r="J9" s="26"/>
      <c r="K9" s="26"/>
      <c r="L9" s="26"/>
    </row>
    <row r="10" ht="14.25" customHeight="1">
      <c r="A10" s="26" t="s">
        <v>17</v>
      </c>
      <c r="B10" s="27" t="s">
        <v>18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</row>
    <row r="11" ht="14.25" customHeight="1">
      <c r="A11" s="26" t="s">
        <v>19</v>
      </c>
      <c r="B11" s="27" t="s">
        <v>20</v>
      </c>
      <c r="C11" s="26">
        <v>1.6</v>
      </c>
      <c r="D11" s="26">
        <v>1.6</v>
      </c>
      <c r="E11" s="26">
        <v>1.6</v>
      </c>
      <c r="F11" s="26"/>
      <c r="G11" s="26"/>
      <c r="H11" s="26"/>
      <c r="I11" s="26"/>
      <c r="J11" s="26">
        <v>44.128182215367026</v>
      </c>
      <c r="K11" s="26">
        <v>44.128182215367026</v>
      </c>
      <c r="L11" s="26">
        <v>44.128182215367026</v>
      </c>
    </row>
    <row r="12" ht="14.25" customHeight="1">
      <c r="A12" s="26" t="s">
        <v>21</v>
      </c>
      <c r="B12" s="27" t="s">
        <v>22</v>
      </c>
      <c r="C12" s="26">
        <v>0.0</v>
      </c>
      <c r="D12" s="26">
        <v>0.0</v>
      </c>
      <c r="E12" s="26">
        <v>0.0</v>
      </c>
      <c r="F12" s="26">
        <v>0.023653369038869998</v>
      </c>
      <c r="G12" s="26">
        <v>0.023653369038869998</v>
      </c>
      <c r="H12" s="26">
        <v>0.023653369038869998</v>
      </c>
      <c r="I12" s="26">
        <v>0.023653369038869998</v>
      </c>
      <c r="J12" s="26">
        <v>0.023653369038869998</v>
      </c>
      <c r="K12" s="26">
        <v>0.023653369038869998</v>
      </c>
      <c r="L12" s="26">
        <v>0.023653369038869998</v>
      </c>
    </row>
    <row r="13" ht="14.25" customHeight="1">
      <c r="A13" s="26" t="s">
        <v>23</v>
      </c>
      <c r="B13" s="27" t="s">
        <v>24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</row>
    <row r="14" ht="14.25" customHeight="1">
      <c r="A14" s="26" t="s">
        <v>25</v>
      </c>
      <c r="B14" s="27" t="s">
        <v>26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 ht="14.25" customHeight="1">
      <c r="A15" s="26" t="s">
        <v>27</v>
      </c>
      <c r="B15" s="27" t="s">
        <v>28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ht="14.25" customHeight="1">
      <c r="A16" s="26" t="s">
        <v>29</v>
      </c>
      <c r="B16" s="27" t="s">
        <v>30</v>
      </c>
      <c r="C16" s="26">
        <v>1.789051853120327</v>
      </c>
      <c r="D16" s="26">
        <v>1.789051853120327</v>
      </c>
      <c r="E16" s="26">
        <v>1.789051853120327</v>
      </c>
      <c r="F16" s="26">
        <v>1.789051853120327</v>
      </c>
      <c r="G16" s="26"/>
      <c r="H16" s="26"/>
      <c r="I16" s="26"/>
      <c r="J16" s="26"/>
      <c r="K16" s="26"/>
      <c r="L16" s="26"/>
    </row>
    <row r="17" ht="14.25" customHeight="1">
      <c r="A17" s="26" t="s">
        <v>31</v>
      </c>
      <c r="B17" s="27" t="s">
        <v>32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ht="14.25" customHeight="1">
      <c r="A18" s="26" t="s">
        <v>33</v>
      </c>
      <c r="B18" s="27" t="s">
        <v>34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ht="14.25" customHeight="1">
      <c r="A19" s="26" t="s">
        <v>35</v>
      </c>
      <c r="B19" s="27" t="s">
        <v>36</v>
      </c>
      <c r="C19" s="26">
        <v>35.14307</v>
      </c>
      <c r="D19" s="26">
        <v>38.68352472782135</v>
      </c>
      <c r="E19" s="26">
        <v>38.68352472782135</v>
      </c>
      <c r="F19" s="26">
        <v>38.68352472782135</v>
      </c>
      <c r="G19" s="26">
        <v>38.68352472782135</v>
      </c>
      <c r="H19" s="26">
        <v>38.68352472782135</v>
      </c>
      <c r="I19" s="26">
        <v>23.32969080030297</v>
      </c>
      <c r="J19" s="26">
        <v>23.32969080030297</v>
      </c>
      <c r="K19" s="26">
        <v>23.32969080030297</v>
      </c>
      <c r="L19" s="26">
        <v>23.32969080030297</v>
      </c>
    </row>
    <row r="20" ht="14.25" customHeight="1">
      <c r="A20" s="26" t="s">
        <v>37</v>
      </c>
      <c r="B20" s="27" t="s">
        <v>38</v>
      </c>
      <c r="C20" s="26">
        <v>0.27098889809081</v>
      </c>
      <c r="D20" s="26">
        <v>0.27098889809081</v>
      </c>
      <c r="E20" s="26">
        <v>0.27098889809081</v>
      </c>
      <c r="F20" s="26">
        <v>0.27098889809081</v>
      </c>
      <c r="G20" s="26">
        <v>0.27098889809081</v>
      </c>
      <c r="H20" s="26">
        <v>0.27098889809081</v>
      </c>
      <c r="I20" s="26">
        <v>0.27098889809081</v>
      </c>
      <c r="J20" s="26">
        <v>0.27098889809081</v>
      </c>
      <c r="K20" s="26">
        <v>0.27098889809081</v>
      </c>
      <c r="L20" s="26">
        <v>0.27098889809081</v>
      </c>
    </row>
    <row r="21" ht="14.25" customHeight="1">
      <c r="A21" s="26" t="s">
        <v>39</v>
      </c>
      <c r="B21" s="27" t="s">
        <v>40</v>
      </c>
      <c r="C21" s="26">
        <v>0.0</v>
      </c>
      <c r="D21" s="26">
        <v>0.0</v>
      </c>
      <c r="E21" s="26">
        <v>0.0</v>
      </c>
      <c r="F21" s="26"/>
      <c r="G21" s="26"/>
      <c r="H21" s="26"/>
      <c r="I21" s="26"/>
      <c r="J21" s="26"/>
      <c r="K21" s="26"/>
      <c r="L21" s="26"/>
    </row>
    <row r="22" ht="14.25" customHeight="1">
      <c r="A22" s="26" t="s">
        <v>41</v>
      </c>
      <c r="B22" s="27" t="s">
        <v>42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ht="14.25" customHeight="1">
      <c r="A23" s="26" t="s">
        <v>43</v>
      </c>
      <c r="B23" s="27" t="s">
        <v>44</v>
      </c>
      <c r="C23" s="26">
        <v>1.603814</v>
      </c>
      <c r="D23" s="26">
        <v>1.603814</v>
      </c>
      <c r="E23" s="26">
        <v>1.603814</v>
      </c>
      <c r="F23" s="26">
        <v>2.84914777677963</v>
      </c>
      <c r="G23" s="26">
        <v>2.84914777677963</v>
      </c>
      <c r="H23" s="26">
        <v>2.84914777677963</v>
      </c>
      <c r="I23" s="26">
        <v>2.84914777677963</v>
      </c>
      <c r="J23" s="26">
        <v>2.84914777677963</v>
      </c>
      <c r="K23" s="26">
        <v>2.84914777677963</v>
      </c>
      <c r="L23" s="26">
        <v>2.84914777677963</v>
      </c>
    </row>
    <row r="24" ht="14.25" customHeight="1">
      <c r="A24" s="26" t="s">
        <v>45</v>
      </c>
      <c r="B24" s="27" t="s">
        <v>46</v>
      </c>
      <c r="C24" s="26">
        <v>32.59259</v>
      </c>
      <c r="D24" s="26">
        <v>44.33757662773132</v>
      </c>
      <c r="E24" s="26">
        <v>44.33757662773132</v>
      </c>
      <c r="F24" s="26">
        <v>44.33757662773132</v>
      </c>
      <c r="G24" s="26">
        <v>44.33757662773132</v>
      </c>
      <c r="H24" s="26">
        <v>42.913766437814246</v>
      </c>
      <c r="I24" s="26">
        <v>42.913766437814246</v>
      </c>
      <c r="J24" s="26">
        <v>42.913766437814246</v>
      </c>
      <c r="K24" s="26">
        <v>42.913766437814246</v>
      </c>
      <c r="L24" s="26">
        <v>42.913766437814246</v>
      </c>
    </row>
    <row r="25" ht="14.25" customHeight="1">
      <c r="A25" s="26" t="s">
        <v>47</v>
      </c>
      <c r="B25" s="27" t="s">
        <v>48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</row>
    <row r="26" ht="14.25" customHeight="1">
      <c r="A26" s="26" t="s">
        <v>49</v>
      </c>
      <c r="B26" s="27" t="s">
        <v>50</v>
      </c>
      <c r="C26" s="26">
        <v>30.862819252808034</v>
      </c>
      <c r="D26" s="26">
        <v>30.862819252808034</v>
      </c>
      <c r="E26" s="26">
        <v>30.862819252808034</v>
      </c>
      <c r="F26" s="26">
        <v>30.862819252808034</v>
      </c>
      <c r="G26" s="26">
        <v>30.862819252808034</v>
      </c>
      <c r="H26" s="26">
        <v>30.862819252808034</v>
      </c>
      <c r="I26" s="26">
        <v>30.862819252808034</v>
      </c>
      <c r="J26" s="26">
        <v>30.862819252808034</v>
      </c>
      <c r="K26" s="26"/>
      <c r="L26" s="26"/>
    </row>
    <row r="27" ht="14.25" customHeight="1">
      <c r="A27" s="26" t="s">
        <v>51</v>
      </c>
      <c r="B27" s="27" t="s">
        <v>52</v>
      </c>
      <c r="C27" s="26">
        <v>16.830293834209442</v>
      </c>
      <c r="D27" s="26">
        <v>16.830293834209442</v>
      </c>
      <c r="E27" s="26">
        <v>16.830293834209442</v>
      </c>
      <c r="F27" s="26">
        <v>7.500016588179929</v>
      </c>
      <c r="G27" s="26">
        <v>7.500016588179929</v>
      </c>
      <c r="H27" s="26">
        <v>7.500016588179929</v>
      </c>
      <c r="I27" s="26">
        <v>7.500016588179929</v>
      </c>
      <c r="J27" s="26">
        <v>7.500016588179929</v>
      </c>
      <c r="K27" s="26">
        <v>7.500016588179929</v>
      </c>
      <c r="L27" s="26">
        <v>7.500016588179929</v>
      </c>
    </row>
    <row r="28" ht="14.25" customHeight="1">
      <c r="A28" s="26" t="s">
        <v>53</v>
      </c>
      <c r="B28" s="27" t="s">
        <v>54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29" ht="14.25" customHeight="1">
      <c r="A29" s="26" t="s">
        <v>55</v>
      </c>
      <c r="B29" s="27" t="s">
        <v>56</v>
      </c>
      <c r="C29" s="26">
        <v>0.04973027022472999</v>
      </c>
      <c r="D29" s="26">
        <v>0.04973027022472999</v>
      </c>
      <c r="E29" s="26">
        <v>0.04973027022472999</v>
      </c>
      <c r="F29" s="26">
        <v>0.04973027022472999</v>
      </c>
      <c r="G29" s="26">
        <v>0.04973027022472999</v>
      </c>
      <c r="H29" s="26">
        <v>0.04973027022472999</v>
      </c>
      <c r="I29" s="26">
        <v>0.04973027022472999</v>
      </c>
      <c r="J29" s="26">
        <v>0.04973027022472999</v>
      </c>
      <c r="K29" s="26">
        <v>0.04973027022472999</v>
      </c>
      <c r="L29" s="26">
        <v>0.04973027022472999</v>
      </c>
    </row>
    <row r="30" ht="14.25" customHeight="1">
      <c r="A30" s="26" t="s">
        <v>57</v>
      </c>
      <c r="B30" s="27" t="s">
        <v>58</v>
      </c>
      <c r="C30" s="26"/>
      <c r="D30" s="26"/>
      <c r="E30" s="26"/>
      <c r="F30" s="26">
        <v>9.056361618896549</v>
      </c>
      <c r="G30" s="26">
        <v>9.056361618896549</v>
      </c>
      <c r="H30" s="26">
        <v>9.056361618896549</v>
      </c>
      <c r="I30" s="26">
        <v>9.056361618896549</v>
      </c>
      <c r="J30" s="26">
        <v>9.056361618896549</v>
      </c>
      <c r="K30" s="26">
        <v>9.056361618896549</v>
      </c>
      <c r="L30" s="26">
        <v>9.056361618896549</v>
      </c>
    </row>
    <row r="31" ht="14.25" customHeight="1">
      <c r="A31" s="26" t="s">
        <v>59</v>
      </c>
      <c r="B31" s="27" t="s">
        <v>60</v>
      </c>
      <c r="C31" s="26">
        <v>0.3</v>
      </c>
      <c r="D31" s="26">
        <v>0.3</v>
      </c>
      <c r="E31" s="26">
        <v>0.56737738356348</v>
      </c>
      <c r="F31" s="26">
        <v>0.56737738356348</v>
      </c>
      <c r="G31" s="26">
        <v>0.56737738356348</v>
      </c>
      <c r="H31" s="26">
        <v>0.56737738356348</v>
      </c>
      <c r="I31" s="26">
        <v>0.56737738356348</v>
      </c>
      <c r="J31" s="26">
        <v>0.56737738356348</v>
      </c>
      <c r="K31" s="26">
        <v>0.56737738356348</v>
      </c>
      <c r="L31" s="26">
        <v>0.56737738356348</v>
      </c>
    </row>
    <row r="32" ht="14.25" customHeight="1">
      <c r="A32" s="26" t="s">
        <v>61</v>
      </c>
      <c r="B32" s="27" t="s">
        <v>62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</row>
    <row r="33" ht="14.25" customHeight="1">
      <c r="A33" s="26" t="s">
        <v>63</v>
      </c>
      <c r="B33" s="27" t="s">
        <v>64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</row>
    <row r="34" ht="14.25" customHeight="1">
      <c r="A34" s="26" t="s">
        <v>65</v>
      </c>
      <c r="B34" s="27" t="s">
        <v>66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</row>
    <row r="35" ht="14.25" customHeight="1">
      <c r="A35" s="26" t="s">
        <v>67</v>
      </c>
      <c r="B35" s="27" t="s">
        <v>68</v>
      </c>
      <c r="C35" s="26">
        <v>71.74047776324723</v>
      </c>
      <c r="D35" s="26">
        <v>71.74047776324723</v>
      </c>
      <c r="E35" s="26">
        <v>71.74047776324723</v>
      </c>
      <c r="F35" s="26">
        <v>71.74047776324723</v>
      </c>
      <c r="G35" s="26">
        <v>71.74047776324723</v>
      </c>
      <c r="H35" s="26">
        <v>71.74047776324723</v>
      </c>
      <c r="I35" s="26">
        <v>71.74047776324723</v>
      </c>
      <c r="J35" s="26">
        <v>71.74047776324723</v>
      </c>
      <c r="K35" s="26"/>
      <c r="L35" s="26"/>
    </row>
    <row r="36" ht="14.25" customHeight="1">
      <c r="A36" s="26" t="s">
        <v>69</v>
      </c>
      <c r="B36" s="27" t="s">
        <v>70</v>
      </c>
      <c r="C36" s="26">
        <v>76.36504</v>
      </c>
      <c r="D36" s="26">
        <v>76.36504</v>
      </c>
      <c r="E36" s="26">
        <v>76.36504</v>
      </c>
      <c r="F36" s="26">
        <v>76.36504</v>
      </c>
      <c r="G36" s="26">
        <v>70.60277987563173</v>
      </c>
      <c r="H36" s="26">
        <v>70.60277987563173</v>
      </c>
      <c r="I36" s="26">
        <v>70.60277987563173</v>
      </c>
      <c r="J36" s="26">
        <v>70.60277987563173</v>
      </c>
      <c r="K36" s="26">
        <v>70.60277987563173</v>
      </c>
      <c r="L36" s="26">
        <v>70.60277987563173</v>
      </c>
    </row>
    <row r="37" ht="14.25" customHeight="1">
      <c r="A37" s="30" t="s">
        <v>71</v>
      </c>
      <c r="B37" s="29" t="s">
        <v>72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ht="14.25" customHeight="1">
      <c r="A38" s="30" t="s">
        <v>73</v>
      </c>
      <c r="B38" s="29" t="s">
        <v>74</v>
      </c>
      <c r="C38" s="26">
        <v>3.9</v>
      </c>
      <c r="D38" s="26">
        <v>21.79541181040626</v>
      </c>
      <c r="E38" s="26">
        <v>21.79541181040626</v>
      </c>
      <c r="F38" s="26">
        <v>21.79541181040626</v>
      </c>
      <c r="G38" s="26">
        <v>21.79541181040626</v>
      </c>
      <c r="H38" s="26">
        <v>21.79541181040626</v>
      </c>
      <c r="I38" s="26">
        <v>21.79541181040626</v>
      </c>
      <c r="J38" s="26">
        <v>21.79541181040626</v>
      </c>
      <c r="K38" s="26">
        <v>21.79541181040626</v>
      </c>
      <c r="L38" s="26">
        <v>4.59524754181045</v>
      </c>
    </row>
    <row r="39" ht="14.25" customHeight="1">
      <c r="A39" s="26" t="s">
        <v>75</v>
      </c>
      <c r="B39" s="27" t="s">
        <v>76</v>
      </c>
      <c r="C39" s="26">
        <v>34.47456</v>
      </c>
      <c r="D39" s="26">
        <v>38.97208869457245</v>
      </c>
      <c r="E39" s="26">
        <v>38.97208869457245</v>
      </c>
      <c r="F39" s="26">
        <v>38.97208869457245</v>
      </c>
      <c r="G39" s="26">
        <v>38.97208869457245</v>
      </c>
      <c r="H39" s="26">
        <v>36.97701205544089</v>
      </c>
      <c r="I39" s="26">
        <v>36.97701205544089</v>
      </c>
      <c r="J39" s="26">
        <v>36.97701205544089</v>
      </c>
      <c r="K39" s="26">
        <v>36.97701205544089</v>
      </c>
      <c r="L39" s="26">
        <v>36.97701205544089</v>
      </c>
    </row>
    <row r="40" ht="14.25" customHeight="1">
      <c r="A40" s="26" t="s">
        <v>77</v>
      </c>
      <c r="B40" s="27" t="s">
        <v>78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</row>
    <row r="41" ht="14.25" customHeight="1">
      <c r="A41" s="26" t="s">
        <v>79</v>
      </c>
      <c r="B41" s="27" t="s">
        <v>80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</row>
    <row r="42" ht="14.25" customHeight="1">
      <c r="A42" s="26" t="s">
        <v>81</v>
      </c>
      <c r="B42" s="27" t="s">
        <v>82</v>
      </c>
      <c r="C42" s="26">
        <v>73.09450507164001</v>
      </c>
      <c r="D42" s="26">
        <v>73.09450507164001</v>
      </c>
      <c r="E42" s="26">
        <v>73.09450507164001</v>
      </c>
      <c r="F42" s="26">
        <v>73.09450507164001</v>
      </c>
      <c r="G42" s="26">
        <v>73.09450507164001</v>
      </c>
      <c r="H42" s="26">
        <v>73.09450507164001</v>
      </c>
      <c r="I42" s="26">
        <v>75.45230514005522</v>
      </c>
      <c r="J42" s="26">
        <v>75.45230514005522</v>
      </c>
      <c r="K42" s="26">
        <v>75.45230514005522</v>
      </c>
      <c r="L42" s="26">
        <v>75.45230514005522</v>
      </c>
    </row>
    <row r="43" ht="14.25" customHeight="1">
      <c r="A43" s="26" t="s">
        <v>83</v>
      </c>
      <c r="B43" s="27" t="s">
        <v>84</v>
      </c>
      <c r="C43" s="26">
        <v>84.57129</v>
      </c>
      <c r="D43" s="26">
        <v>84.57129</v>
      </c>
      <c r="E43" s="26">
        <v>82.9599380493164</v>
      </c>
      <c r="F43" s="26">
        <v>82.9599380493164</v>
      </c>
      <c r="G43" s="26">
        <v>82.9599380493164</v>
      </c>
      <c r="H43" s="26">
        <v>82.9599380493164</v>
      </c>
      <c r="I43" s="26">
        <v>80.36014215831165</v>
      </c>
      <c r="J43" s="26">
        <v>80.36014215831165</v>
      </c>
      <c r="K43" s="26">
        <v>80.36014215831165</v>
      </c>
      <c r="L43" s="26">
        <v>80.36014215831165</v>
      </c>
    </row>
    <row r="44" ht="14.25" customHeight="1">
      <c r="A44" s="26" t="s">
        <v>85</v>
      </c>
      <c r="B44" s="27" t="s">
        <v>86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</row>
    <row r="45" ht="14.25" customHeight="1">
      <c r="A45" s="30" t="s">
        <v>471</v>
      </c>
      <c r="B45" s="29" t="s">
        <v>88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</row>
    <row r="46" ht="14.25" customHeight="1">
      <c r="A46" s="26" t="s">
        <v>89</v>
      </c>
      <c r="B46" s="27" t="s">
        <v>90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</row>
    <row r="47" ht="14.25" customHeight="1">
      <c r="A47" s="26" t="s">
        <v>91</v>
      </c>
      <c r="B47" s="27" t="s">
        <v>92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</row>
    <row r="48" ht="14.25" customHeight="1">
      <c r="A48" s="26" t="s">
        <v>472</v>
      </c>
      <c r="B48" s="27" t="s">
        <v>473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</row>
    <row r="49" ht="14.25" customHeight="1">
      <c r="A49" s="26" t="s">
        <v>93</v>
      </c>
      <c r="B49" s="27" t="s">
        <v>94</v>
      </c>
      <c r="C49" s="26">
        <v>2.3</v>
      </c>
      <c r="D49" s="26">
        <v>2.3</v>
      </c>
      <c r="E49" s="26">
        <v>2.3</v>
      </c>
      <c r="F49" s="26">
        <v>3.96764905781173</v>
      </c>
      <c r="G49" s="26">
        <v>3.96764905781173</v>
      </c>
      <c r="H49" s="26">
        <v>3.96764905781173</v>
      </c>
      <c r="I49" s="26">
        <v>3.96764905781173</v>
      </c>
      <c r="J49" s="26">
        <v>3.96764905781173</v>
      </c>
      <c r="K49" s="26">
        <v>3.96764905781173</v>
      </c>
      <c r="L49" s="26">
        <v>3.96764905781173</v>
      </c>
    </row>
    <row r="50" ht="14.25" customHeight="1">
      <c r="A50" s="26" t="s">
        <v>95</v>
      </c>
      <c r="B50" s="27" t="s">
        <v>96</v>
      </c>
      <c r="C50" s="26">
        <v>23.734122602960632</v>
      </c>
      <c r="D50" s="26">
        <v>23.734122602960632</v>
      </c>
      <c r="E50" s="26">
        <v>23.734122602960632</v>
      </c>
      <c r="F50" s="26">
        <v>23.734122602960632</v>
      </c>
      <c r="G50" s="26">
        <v>23.734122602960632</v>
      </c>
      <c r="H50" s="26">
        <v>23.734122602960632</v>
      </c>
      <c r="I50" s="26">
        <v>23.734122602960632</v>
      </c>
      <c r="J50" s="26">
        <v>23.734122602960632</v>
      </c>
      <c r="K50" s="26">
        <v>23.734122602960632</v>
      </c>
      <c r="L50" s="26">
        <v>23.734122602960632</v>
      </c>
    </row>
    <row r="51" ht="14.25" customHeight="1">
      <c r="A51" s="26" t="s">
        <v>97</v>
      </c>
      <c r="B51" s="27" t="s">
        <v>98</v>
      </c>
      <c r="C51" s="26">
        <v>32.50126242637634</v>
      </c>
      <c r="D51" s="26">
        <v>32.50126242637634</v>
      </c>
      <c r="E51" s="26">
        <v>19.288222987902152</v>
      </c>
      <c r="F51" s="26">
        <v>19.288222987902152</v>
      </c>
      <c r="G51" s="26">
        <v>19.288222987902152</v>
      </c>
      <c r="H51" s="26">
        <v>19.288222987902152</v>
      </c>
      <c r="I51" s="26">
        <v>19.288222987902152</v>
      </c>
      <c r="J51" s="26">
        <v>19.288222987902152</v>
      </c>
      <c r="K51" s="26">
        <v>19.288222987902152</v>
      </c>
      <c r="L51" s="26">
        <v>19.288222987902152</v>
      </c>
    </row>
    <row r="52" ht="14.25" customHeight="1">
      <c r="A52" s="26" t="s">
        <v>99</v>
      </c>
      <c r="B52" s="27" t="s">
        <v>100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</row>
    <row r="53" ht="14.25" customHeight="1">
      <c r="A53" s="30" t="s">
        <v>101</v>
      </c>
      <c r="B53" s="29" t="s">
        <v>102</v>
      </c>
      <c r="C53" s="26"/>
      <c r="D53" s="26"/>
      <c r="E53" s="26"/>
      <c r="F53" s="26"/>
      <c r="G53" s="26"/>
      <c r="H53" s="26">
        <v>0.23872917685904</v>
      </c>
      <c r="I53" s="26">
        <v>0.23872917685904</v>
      </c>
      <c r="J53" s="26">
        <v>0.23872917685904</v>
      </c>
      <c r="K53" s="26">
        <v>0.23872917685904</v>
      </c>
      <c r="L53" s="26">
        <v>0.23872917685904</v>
      </c>
    </row>
    <row r="54" ht="14.25" customHeight="1">
      <c r="A54" s="26" t="s">
        <v>103</v>
      </c>
      <c r="B54" s="27" t="s">
        <v>104</v>
      </c>
      <c r="C54" s="26">
        <v>16.62007</v>
      </c>
      <c r="D54" s="26">
        <v>16.62007</v>
      </c>
      <c r="E54" s="26">
        <v>16.62007</v>
      </c>
      <c r="F54" s="26">
        <v>24.13478656586841</v>
      </c>
      <c r="G54" s="26">
        <v>24.13478656586841</v>
      </c>
      <c r="H54" s="26">
        <v>24.13478656586841</v>
      </c>
      <c r="I54" s="26">
        <v>24.13478656586841</v>
      </c>
      <c r="J54" s="26">
        <v>24.13478656586841</v>
      </c>
      <c r="K54" s="26">
        <v>24.13478656586841</v>
      </c>
      <c r="L54" s="26">
        <v>24.13478656586841</v>
      </c>
    </row>
    <row r="55" ht="14.25" customHeight="1">
      <c r="A55" s="30" t="s">
        <v>105</v>
      </c>
      <c r="B55" s="29" t="s">
        <v>106</v>
      </c>
      <c r="C55" s="26">
        <v>0.1</v>
      </c>
      <c r="D55" s="26"/>
      <c r="E55" s="26"/>
      <c r="F55" s="26"/>
      <c r="G55" s="26"/>
      <c r="H55" s="26"/>
      <c r="I55" s="26"/>
      <c r="J55" s="26"/>
      <c r="K55" s="26"/>
      <c r="L55" s="26"/>
    </row>
    <row r="56" ht="14.25" customHeight="1">
      <c r="A56" s="26" t="s">
        <v>107</v>
      </c>
      <c r="B56" s="27" t="s">
        <v>108</v>
      </c>
      <c r="C56" s="26"/>
      <c r="D56" s="26"/>
      <c r="E56" s="26"/>
      <c r="F56" s="26"/>
      <c r="G56" s="26">
        <v>0.2886499511078</v>
      </c>
      <c r="H56" s="26">
        <v>0.2886499511078</v>
      </c>
      <c r="I56" s="26">
        <v>0.66219679967257</v>
      </c>
      <c r="J56" s="26">
        <v>0.66219679967257</v>
      </c>
      <c r="K56" s="26">
        <v>0.66219679967257</v>
      </c>
      <c r="L56" s="26">
        <v>0.66219679967257</v>
      </c>
    </row>
    <row r="57" ht="14.25" customHeight="1">
      <c r="A57" s="26" t="s">
        <v>109</v>
      </c>
      <c r="B57" s="27" t="s">
        <v>110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</row>
    <row r="58" ht="14.25" customHeight="1">
      <c r="A58" s="30" t="s">
        <v>111</v>
      </c>
      <c r="B58" s="29" t="s">
        <v>112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ht="14.25" customHeight="1">
      <c r="A59" s="26" t="s">
        <v>113</v>
      </c>
      <c r="B59" s="27" t="s">
        <v>114</v>
      </c>
      <c r="C59" s="26">
        <v>0.0</v>
      </c>
      <c r="D59" s="26"/>
      <c r="E59" s="26"/>
      <c r="F59" s="26"/>
      <c r="G59" s="26"/>
      <c r="H59" s="26"/>
      <c r="I59" s="26"/>
      <c r="J59" s="26"/>
      <c r="K59" s="26"/>
      <c r="L59" s="26"/>
    </row>
    <row r="60" ht="14.25" customHeight="1">
      <c r="A60" s="26" t="s">
        <v>115</v>
      </c>
      <c r="B60" s="27" t="s">
        <v>116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ht="14.25" customHeight="1">
      <c r="A61" s="26" t="s">
        <v>117</v>
      </c>
      <c r="B61" s="27" t="s">
        <v>118</v>
      </c>
      <c r="C61" s="26">
        <v>68.8</v>
      </c>
      <c r="D61" s="26">
        <v>69.77881789207458</v>
      </c>
      <c r="E61" s="26">
        <v>69.77881789207458</v>
      </c>
      <c r="F61" s="26">
        <v>69.77881789207458</v>
      </c>
      <c r="G61" s="26">
        <v>69.77881789207458</v>
      </c>
      <c r="H61" s="26">
        <v>59.239377040329934</v>
      </c>
      <c r="I61" s="26">
        <v>59.239377040329934</v>
      </c>
      <c r="J61" s="26">
        <v>59.239377040329934</v>
      </c>
      <c r="K61" s="26">
        <v>59.239377040329934</v>
      </c>
      <c r="L61" s="26">
        <v>59.239377040329934</v>
      </c>
    </row>
    <row r="62" ht="14.25" customHeight="1">
      <c r="A62" s="26" t="s">
        <v>119</v>
      </c>
      <c r="B62" s="27" t="s">
        <v>120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</row>
    <row r="63" ht="14.25" customHeight="1">
      <c r="A63" s="26" t="s">
        <v>121</v>
      </c>
      <c r="B63" s="27" t="s">
        <v>122</v>
      </c>
      <c r="C63" s="26">
        <v>28.763046860694885</v>
      </c>
      <c r="D63" s="26">
        <v>28.763046860694885</v>
      </c>
      <c r="E63" s="26">
        <v>28.763046860694885</v>
      </c>
      <c r="F63" s="26">
        <v>28.763046860694885</v>
      </c>
      <c r="G63" s="26"/>
      <c r="H63" s="26"/>
      <c r="I63" s="26"/>
      <c r="J63" s="26"/>
      <c r="K63" s="26"/>
      <c r="L63" s="26"/>
    </row>
    <row r="64" ht="14.25" customHeight="1">
      <c r="A64" s="26" t="s">
        <v>123</v>
      </c>
      <c r="B64" s="27" t="s">
        <v>124</v>
      </c>
      <c r="C64" s="26"/>
      <c r="D64" s="26"/>
      <c r="E64" s="26"/>
      <c r="F64" s="26"/>
      <c r="G64" s="26"/>
      <c r="H64" s="26"/>
      <c r="I64" s="26"/>
      <c r="J64" s="26"/>
      <c r="K64" s="26"/>
      <c r="L64" s="26"/>
    </row>
    <row r="65" ht="14.25" customHeight="1">
      <c r="A65" s="26" t="s">
        <v>125</v>
      </c>
      <c r="B65" s="27" t="s">
        <v>126</v>
      </c>
      <c r="C65" s="26">
        <v>0.7792875</v>
      </c>
      <c r="D65" s="26">
        <v>1.78943677113434</v>
      </c>
      <c r="E65" s="26">
        <v>1.78943677113434</v>
      </c>
      <c r="F65" s="26">
        <v>1.78943677113434</v>
      </c>
      <c r="G65" s="26">
        <v>1.78943677113434</v>
      </c>
      <c r="H65" s="26">
        <v>1.78943677113434</v>
      </c>
      <c r="I65" s="26">
        <v>0.23872917685904</v>
      </c>
      <c r="J65" s="26">
        <v>0.23872917685904</v>
      </c>
      <c r="K65" s="26">
        <v>0.23872917685904</v>
      </c>
      <c r="L65" s="26">
        <v>0.23872917685904</v>
      </c>
    </row>
    <row r="66" ht="14.25" customHeight="1">
      <c r="A66" s="26" t="s">
        <v>127</v>
      </c>
      <c r="B66" s="27" t="s">
        <v>128</v>
      </c>
      <c r="C66" s="26">
        <v>0.2</v>
      </c>
      <c r="D66" s="26">
        <v>2.37818341688163</v>
      </c>
      <c r="E66" s="26">
        <v>2.37818341688163</v>
      </c>
      <c r="F66" s="26">
        <v>2.37818341688163</v>
      </c>
      <c r="G66" s="26">
        <v>2.37818341688163</v>
      </c>
      <c r="H66" s="26">
        <v>0.66219679967257</v>
      </c>
      <c r="I66" s="26">
        <v>0.66219679967257</v>
      </c>
      <c r="J66" s="26">
        <v>0.66219679967257</v>
      </c>
      <c r="K66" s="26">
        <v>0.66219679967257</v>
      </c>
      <c r="L66" s="26">
        <v>0.66219679967257</v>
      </c>
    </row>
    <row r="67" ht="14.25" customHeight="1">
      <c r="A67" s="26" t="s">
        <v>129</v>
      </c>
      <c r="B67" s="27" t="s">
        <v>130</v>
      </c>
      <c r="C67" s="26">
        <v>2.3</v>
      </c>
      <c r="D67" s="26">
        <v>0.7369922796549401</v>
      </c>
      <c r="E67" s="26">
        <v>0.7369922796549401</v>
      </c>
      <c r="F67" s="26">
        <v>0.7369922796549401</v>
      </c>
      <c r="G67" s="26">
        <v>0.7369922796549401</v>
      </c>
      <c r="H67" s="26">
        <v>0.7369922796549401</v>
      </c>
      <c r="I67" s="26">
        <v>0.7369922796549401</v>
      </c>
      <c r="J67" s="26">
        <v>0.7369922796549401</v>
      </c>
      <c r="K67" s="26">
        <v>0.7369922796549401</v>
      </c>
      <c r="L67" s="26">
        <v>0.7369922796549401</v>
      </c>
    </row>
    <row r="68" ht="14.25" customHeight="1">
      <c r="A68" s="26" t="s">
        <v>131</v>
      </c>
      <c r="B68" s="27" t="s">
        <v>132</v>
      </c>
      <c r="C68" s="26"/>
      <c r="D68" s="26">
        <v>6.07522340280115</v>
      </c>
      <c r="E68" s="26">
        <v>6.07522340280115</v>
      </c>
      <c r="F68" s="26">
        <v>6.07522340280115</v>
      </c>
      <c r="G68" s="26">
        <v>6.07522340280115</v>
      </c>
      <c r="H68" s="26">
        <v>6.07522340280115</v>
      </c>
      <c r="I68" s="26">
        <v>6.07522340280115</v>
      </c>
      <c r="J68" s="26">
        <v>6.07522340280115</v>
      </c>
      <c r="K68" s="26">
        <v>6.07522340280115</v>
      </c>
      <c r="L68" s="26">
        <v>6.07522340280115</v>
      </c>
    </row>
    <row r="69" ht="14.25" customHeight="1">
      <c r="A69" s="30" t="s">
        <v>133</v>
      </c>
      <c r="B69" s="29" t="s">
        <v>134</v>
      </c>
      <c r="C69" s="26"/>
      <c r="D69" s="26"/>
      <c r="E69" s="26"/>
      <c r="F69" s="26"/>
      <c r="G69" s="26"/>
      <c r="H69" s="26"/>
      <c r="I69" s="26"/>
      <c r="J69" s="26"/>
      <c r="K69" s="26"/>
      <c r="L69" s="26"/>
    </row>
    <row r="70" ht="14.25" customHeight="1">
      <c r="A70" s="26" t="s">
        <v>135</v>
      </c>
      <c r="B70" s="27" t="s">
        <v>136</v>
      </c>
      <c r="C70" s="26"/>
      <c r="D70" s="26"/>
      <c r="E70" s="26"/>
      <c r="F70" s="26"/>
      <c r="G70" s="26"/>
      <c r="H70" s="26"/>
      <c r="I70" s="26"/>
      <c r="J70" s="26"/>
      <c r="K70" s="26"/>
      <c r="L70" s="26"/>
    </row>
    <row r="71" ht="14.25" customHeight="1">
      <c r="A71" s="26" t="s">
        <v>137</v>
      </c>
      <c r="B71" s="27" t="s">
        <v>138</v>
      </c>
      <c r="C71" s="26">
        <v>0.0</v>
      </c>
      <c r="D71" s="26"/>
      <c r="E71" s="26"/>
      <c r="F71" s="26"/>
      <c r="G71" s="26"/>
      <c r="H71" s="26"/>
      <c r="I71" s="26"/>
      <c r="J71" s="26"/>
      <c r="K71" s="26"/>
      <c r="L71" s="26"/>
    </row>
    <row r="72" ht="14.25" customHeight="1">
      <c r="A72" s="30" t="s">
        <v>139</v>
      </c>
      <c r="B72" s="29" t="s">
        <v>140</v>
      </c>
      <c r="C72" s="26">
        <v>5.4</v>
      </c>
      <c r="D72" s="26">
        <v>8.770343994234029</v>
      </c>
      <c r="E72" s="26">
        <v>8.770343994234029</v>
      </c>
      <c r="F72" s="26">
        <v>8.770343994234029</v>
      </c>
      <c r="G72" s="26">
        <v>8.770343994234029</v>
      </c>
      <c r="H72" s="26">
        <v>8.770343994234029</v>
      </c>
      <c r="I72" s="26">
        <v>8.770343994234029</v>
      </c>
      <c r="J72" s="26">
        <v>8.770343994234029</v>
      </c>
      <c r="K72" s="26">
        <v>8.770343994234029</v>
      </c>
      <c r="L72" s="26">
        <v>8.770343994234029</v>
      </c>
    </row>
    <row r="73" ht="14.25" customHeight="1">
      <c r="A73" s="30" t="s">
        <v>141</v>
      </c>
      <c r="B73" s="29" t="s">
        <v>142</v>
      </c>
      <c r="C73" s="26">
        <v>82.6</v>
      </c>
      <c r="D73" s="26">
        <v>82.6</v>
      </c>
      <c r="E73" s="26">
        <v>82.6</v>
      </c>
      <c r="F73" s="26">
        <v>83.25091004371643</v>
      </c>
      <c r="G73" s="26">
        <v>83.25091004371643</v>
      </c>
      <c r="H73" s="26">
        <v>83.25091004371643</v>
      </c>
      <c r="I73" s="26">
        <v>67.53307830814671</v>
      </c>
      <c r="J73" s="26">
        <v>67.53307830814671</v>
      </c>
      <c r="K73" s="26">
        <v>67.53307830814671</v>
      </c>
      <c r="L73" s="26">
        <v>67.53307830814671</v>
      </c>
    </row>
    <row r="74" ht="14.25" customHeight="1">
      <c r="A74" s="26" t="s">
        <v>143</v>
      </c>
      <c r="B74" s="27" t="s">
        <v>144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</row>
    <row r="75" ht="14.25" customHeight="1">
      <c r="A75" s="26" t="s">
        <v>145</v>
      </c>
      <c r="B75" s="27" t="s">
        <v>146</v>
      </c>
      <c r="C75" s="26"/>
      <c r="D75" s="26"/>
      <c r="E75" s="26"/>
      <c r="F75" s="26"/>
      <c r="G75" s="26"/>
      <c r="H75" s="26"/>
      <c r="I75" s="26"/>
      <c r="J75" s="26"/>
      <c r="K75" s="26"/>
      <c r="L75" s="26"/>
    </row>
    <row r="76" ht="14.25" customHeight="1">
      <c r="A76" s="26" t="s">
        <v>147</v>
      </c>
      <c r="B76" s="27" t="s">
        <v>148</v>
      </c>
      <c r="C76" s="26"/>
      <c r="D76" s="26"/>
      <c r="E76" s="26"/>
      <c r="F76" s="26"/>
      <c r="G76" s="26"/>
      <c r="H76" s="26"/>
      <c r="I76" s="26"/>
      <c r="J76" s="26"/>
      <c r="K76" s="26">
        <v>0.90093495048031</v>
      </c>
      <c r="L76" s="26">
        <v>0.90093495048031</v>
      </c>
    </row>
    <row r="77" ht="14.25" customHeight="1">
      <c r="A77" s="26" t="s">
        <v>149</v>
      </c>
      <c r="B77" s="27" t="s">
        <v>150</v>
      </c>
      <c r="C77" s="26"/>
      <c r="D77" s="26"/>
      <c r="E77" s="26"/>
      <c r="F77" s="26"/>
      <c r="G77" s="26"/>
      <c r="H77" s="26"/>
      <c r="I77" s="26"/>
      <c r="J77" s="26"/>
      <c r="K77" s="26"/>
      <c r="L77" s="26"/>
    </row>
    <row r="78" ht="14.25" customHeight="1">
      <c r="A78" s="26" t="s">
        <v>151</v>
      </c>
      <c r="B78" s="27" t="s">
        <v>152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</row>
    <row r="79" ht="14.25" customHeight="1">
      <c r="A79" s="26" t="s">
        <v>153</v>
      </c>
      <c r="B79" s="27" t="s">
        <v>154</v>
      </c>
      <c r="C79" s="26"/>
      <c r="D79" s="26"/>
      <c r="E79" s="26"/>
      <c r="F79" s="26"/>
      <c r="G79" s="26"/>
      <c r="H79" s="26"/>
      <c r="I79" s="26"/>
      <c r="J79" s="26"/>
      <c r="K79" s="26"/>
      <c r="L79" s="26"/>
    </row>
    <row r="80" ht="14.25" customHeight="1">
      <c r="A80" s="26" t="s">
        <v>155</v>
      </c>
      <c r="B80" s="27" t="s">
        <v>156</v>
      </c>
      <c r="C80" s="26"/>
      <c r="D80" s="26"/>
      <c r="E80" s="26"/>
      <c r="F80" s="26"/>
      <c r="G80" s="26"/>
      <c r="H80" s="26"/>
      <c r="I80" s="26"/>
      <c r="J80" s="26"/>
      <c r="K80" s="26"/>
      <c r="L80" s="26"/>
    </row>
    <row r="81" ht="14.25" customHeight="1">
      <c r="A81" s="26" t="s">
        <v>157</v>
      </c>
      <c r="B81" s="27" t="s">
        <v>158</v>
      </c>
      <c r="C81" s="26">
        <v>9.24344146998766</v>
      </c>
      <c r="D81" s="26">
        <v>9.24344146998766</v>
      </c>
      <c r="E81" s="26">
        <v>9.24344146998766</v>
      </c>
      <c r="F81" s="26">
        <v>9.24344146998766</v>
      </c>
      <c r="G81" s="26">
        <v>9.24344146998766</v>
      </c>
      <c r="H81" s="26">
        <v>9.24344146998766</v>
      </c>
      <c r="I81" s="26">
        <v>9.24344146998766</v>
      </c>
      <c r="J81" s="26">
        <v>9.24344146998766</v>
      </c>
      <c r="K81" s="26">
        <v>9.24344146998766</v>
      </c>
      <c r="L81" s="26">
        <v>9.24344146998766</v>
      </c>
    </row>
    <row r="82" ht="14.25" customHeight="1">
      <c r="A82" s="26" t="s">
        <v>159</v>
      </c>
      <c r="B82" s="27" t="s">
        <v>160</v>
      </c>
      <c r="C82" s="26">
        <v>28.621870279312134</v>
      </c>
      <c r="D82" s="26">
        <v>28.621870279312134</v>
      </c>
      <c r="E82" s="26">
        <v>28.621870279312134</v>
      </c>
      <c r="F82" s="26">
        <v>28.621870279312134</v>
      </c>
      <c r="G82" s="26">
        <v>28.621870279312134</v>
      </c>
      <c r="H82" s="26">
        <v>16.78648079782437</v>
      </c>
      <c r="I82" s="26">
        <v>16.78648079782437</v>
      </c>
      <c r="J82" s="26">
        <v>9.24344146998765</v>
      </c>
      <c r="K82" s="26">
        <v>9.24344146998765</v>
      </c>
      <c r="L82" s="26">
        <v>9.24344146998765</v>
      </c>
    </row>
    <row r="83" ht="14.25" customHeight="1">
      <c r="A83" s="26" t="s">
        <v>161</v>
      </c>
      <c r="B83" s="27" t="s">
        <v>162</v>
      </c>
      <c r="C83" s="26">
        <v>0.1</v>
      </c>
      <c r="D83" s="26">
        <v>0.1</v>
      </c>
      <c r="E83" s="26">
        <v>0.1</v>
      </c>
      <c r="F83" s="26"/>
      <c r="G83" s="26"/>
      <c r="H83" s="26">
        <v>0.15905316634397</v>
      </c>
      <c r="I83" s="26">
        <v>0.15905316634397</v>
      </c>
      <c r="J83" s="26">
        <v>0.15905316634397</v>
      </c>
      <c r="K83" s="26">
        <v>0.15905316634397</v>
      </c>
      <c r="L83" s="26">
        <v>0.15905316634397</v>
      </c>
    </row>
    <row r="84" ht="14.25" customHeight="1">
      <c r="A84" s="26" t="s">
        <v>163</v>
      </c>
      <c r="B84" s="27" t="s">
        <v>164</v>
      </c>
      <c r="C84" s="26"/>
      <c r="D84" s="26"/>
      <c r="E84" s="26"/>
      <c r="F84" s="26"/>
      <c r="G84" s="26"/>
      <c r="H84" s="26"/>
      <c r="I84" s="26"/>
      <c r="J84" s="26"/>
      <c r="K84" s="26"/>
      <c r="L84" s="26"/>
    </row>
    <row r="85" ht="14.25" customHeight="1">
      <c r="A85" s="26" t="s">
        <v>165</v>
      </c>
      <c r="B85" s="27" t="s">
        <v>166</v>
      </c>
      <c r="C85" s="26">
        <v>7.810071</v>
      </c>
      <c r="D85" s="26">
        <v>17.784838378429413</v>
      </c>
      <c r="E85" s="26">
        <v>17.784838378429413</v>
      </c>
      <c r="F85" s="26">
        <v>17.784838378429413</v>
      </c>
      <c r="G85" s="26">
        <v>17.784838378429413</v>
      </c>
      <c r="H85" s="26">
        <v>13.624396987973899</v>
      </c>
      <c r="I85" s="26">
        <v>13.624396987973899</v>
      </c>
      <c r="J85" s="26">
        <v>13.624396987973899</v>
      </c>
      <c r="K85" s="26">
        <v>13.624396987973899</v>
      </c>
      <c r="L85" s="26">
        <v>13.624396987973899</v>
      </c>
    </row>
    <row r="86" ht="14.25" customHeight="1">
      <c r="A86" s="26" t="s">
        <v>167</v>
      </c>
      <c r="B86" s="27" t="s">
        <v>168</v>
      </c>
      <c r="C86" s="26"/>
      <c r="D86" s="26"/>
      <c r="E86" s="26"/>
      <c r="F86" s="26"/>
      <c r="G86" s="26"/>
      <c r="H86" s="26"/>
      <c r="I86" s="26"/>
      <c r="J86" s="26"/>
      <c r="K86" s="26"/>
      <c r="L86" s="26"/>
    </row>
    <row r="87" ht="14.25" customHeight="1">
      <c r="A87" s="26" t="s">
        <v>169</v>
      </c>
      <c r="B87" s="27" t="s">
        <v>170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</row>
    <row r="88" ht="14.25" customHeight="1">
      <c r="A88" s="26" t="s">
        <v>171</v>
      </c>
      <c r="B88" s="27" t="s">
        <v>172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</row>
    <row r="89" ht="14.25" customHeight="1">
      <c r="A89" s="26" t="s">
        <v>173</v>
      </c>
      <c r="B89" s="27" t="s">
        <v>174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</row>
    <row r="90" ht="14.25" customHeight="1">
      <c r="A90" s="30" t="s">
        <v>175</v>
      </c>
      <c r="B90" s="29" t="s">
        <v>176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</row>
    <row r="91" ht="14.25" customHeight="1">
      <c r="A91" s="26" t="s">
        <v>177</v>
      </c>
      <c r="B91" s="27" t="s">
        <v>178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</row>
    <row r="92" ht="14.25" customHeight="1">
      <c r="A92" s="26" t="s">
        <v>179</v>
      </c>
      <c r="B92" s="27" t="s">
        <v>180</v>
      </c>
      <c r="C92" s="26">
        <v>15.7</v>
      </c>
      <c r="D92" s="26"/>
      <c r="E92" s="26">
        <v>22.73949719742518</v>
      </c>
      <c r="F92" s="26">
        <v>22.73949719742518</v>
      </c>
      <c r="G92" s="26">
        <v>22.73949719742518</v>
      </c>
      <c r="H92" s="26">
        <v>22.73949719742518</v>
      </c>
      <c r="I92" s="26">
        <v>22.73949719742518</v>
      </c>
      <c r="J92" s="26">
        <v>22.73949719742518</v>
      </c>
      <c r="K92" s="26">
        <v>22.73949719742518</v>
      </c>
      <c r="L92" s="26">
        <v>22.73949719742518</v>
      </c>
    </row>
    <row r="93" ht="14.25" customHeight="1">
      <c r="A93" s="30" t="s">
        <v>181</v>
      </c>
      <c r="B93" s="29" t="s">
        <v>182</v>
      </c>
      <c r="C93" s="26">
        <v>44.01888</v>
      </c>
      <c r="D93" s="26">
        <v>44.01888</v>
      </c>
      <c r="E93" s="26">
        <v>44.01888</v>
      </c>
      <c r="F93" s="26">
        <v>33.47395062446594</v>
      </c>
      <c r="G93" s="26">
        <v>33.47395062446594</v>
      </c>
      <c r="H93" s="26">
        <v>39.20823071682956</v>
      </c>
      <c r="I93" s="26">
        <v>39.20823071682956</v>
      </c>
      <c r="J93" s="26">
        <v>39.20823071682956</v>
      </c>
      <c r="K93" s="26">
        <v>39.20823071682956</v>
      </c>
      <c r="L93" s="26">
        <v>39.20823071682956</v>
      </c>
    </row>
    <row r="94" ht="14.25" customHeight="1">
      <c r="A94" s="26" t="s">
        <v>183</v>
      </c>
      <c r="B94" s="27" t="s">
        <v>184</v>
      </c>
      <c r="C94" s="26">
        <v>62.80391</v>
      </c>
      <c r="D94" s="26">
        <v>64.93557691574097</v>
      </c>
      <c r="E94" s="26">
        <v>64.93557691574097</v>
      </c>
      <c r="F94" s="26">
        <v>64.93557691574097</v>
      </c>
      <c r="G94" s="26">
        <v>64.93557691574097</v>
      </c>
      <c r="H94" s="26">
        <v>64.93557691574097</v>
      </c>
      <c r="I94" s="26">
        <v>63.509134001558046</v>
      </c>
      <c r="J94" s="26">
        <v>63.509134001558046</v>
      </c>
      <c r="K94" s="26">
        <v>63.509134001558046</v>
      </c>
      <c r="L94" s="26">
        <v>63.509134001558046</v>
      </c>
    </row>
    <row r="95" ht="14.25" customHeight="1">
      <c r="A95" s="30" t="s">
        <v>185</v>
      </c>
      <c r="B95" s="29" t="s">
        <v>186</v>
      </c>
      <c r="C95" s="26">
        <v>1.3</v>
      </c>
      <c r="D95" s="26">
        <v>2.3036086931824684</v>
      </c>
      <c r="E95" s="26">
        <v>2.3036086931824684</v>
      </c>
      <c r="F95" s="26">
        <v>2.3036086931824684</v>
      </c>
      <c r="G95" s="26">
        <v>2.3036086931824684</v>
      </c>
      <c r="H95" s="26">
        <v>2.3036086931824684</v>
      </c>
      <c r="I95" s="26">
        <v>2.3036086931824684</v>
      </c>
      <c r="J95" s="26">
        <v>1.37607436251458</v>
      </c>
      <c r="K95" s="26">
        <v>1.37607436251458</v>
      </c>
      <c r="L95" s="26">
        <v>1.37607436251458</v>
      </c>
    </row>
    <row r="96" ht="14.25" customHeight="1">
      <c r="A96" s="26" t="s">
        <v>187</v>
      </c>
      <c r="B96" s="27" t="s">
        <v>188</v>
      </c>
      <c r="C96" s="26">
        <v>34.14466083049774</v>
      </c>
      <c r="D96" s="26">
        <v>34.14466083049774</v>
      </c>
      <c r="E96" s="26">
        <v>34.14466083049774</v>
      </c>
      <c r="F96" s="26">
        <v>34.14466083049774</v>
      </c>
      <c r="G96" s="26">
        <v>29.69848219586386</v>
      </c>
      <c r="H96" s="26">
        <v>29.69848219586386</v>
      </c>
      <c r="I96" s="26">
        <v>29.69848219586386</v>
      </c>
      <c r="J96" s="26">
        <v>29.69848219586386</v>
      </c>
      <c r="K96" s="26">
        <v>29.69848219586386</v>
      </c>
      <c r="L96" s="26">
        <v>29.69848219586386</v>
      </c>
    </row>
    <row r="97" ht="14.25" customHeight="1">
      <c r="A97" s="26" t="s">
        <v>189</v>
      </c>
      <c r="B97" s="27" t="s">
        <v>190</v>
      </c>
      <c r="C97" s="26"/>
      <c r="D97" s="26"/>
      <c r="E97" s="26"/>
      <c r="F97" s="26"/>
      <c r="G97" s="26"/>
      <c r="H97" s="26"/>
      <c r="I97" s="26"/>
      <c r="J97" s="26"/>
      <c r="K97" s="26"/>
      <c r="L97" s="26"/>
    </row>
    <row r="98" ht="14.25" customHeight="1">
      <c r="A98" s="26" t="s">
        <v>191</v>
      </c>
      <c r="B98" s="27" t="s">
        <v>192</v>
      </c>
      <c r="C98" s="26">
        <v>18.46083622196878</v>
      </c>
      <c r="D98" s="26">
        <v>18.46083622196878</v>
      </c>
      <c r="E98" s="26">
        <v>18.46083622196878</v>
      </c>
      <c r="F98" s="26">
        <v>18.46083622196878</v>
      </c>
      <c r="G98" s="26">
        <v>18.46083622196878</v>
      </c>
      <c r="H98" s="26">
        <v>18.46083622196878</v>
      </c>
      <c r="I98" s="26">
        <v>22.73949719742518</v>
      </c>
      <c r="J98" s="26">
        <v>22.73949719742518</v>
      </c>
      <c r="K98" s="26">
        <v>22.73949719742518</v>
      </c>
      <c r="L98" s="26">
        <v>22.73949719742518</v>
      </c>
    </row>
    <row r="99" ht="14.25" customHeight="1">
      <c r="A99" s="26" t="s">
        <v>193</v>
      </c>
      <c r="B99" s="27" t="s">
        <v>194</v>
      </c>
      <c r="C99" s="26">
        <v>0.6</v>
      </c>
      <c r="D99" s="26"/>
      <c r="E99" s="26"/>
      <c r="F99" s="26"/>
      <c r="G99" s="26"/>
      <c r="H99" s="26"/>
      <c r="I99" s="26"/>
      <c r="J99" s="26"/>
      <c r="K99" s="26"/>
      <c r="L99" s="26"/>
    </row>
    <row r="100" ht="14.25" customHeight="1">
      <c r="A100" s="26" t="s">
        <v>195</v>
      </c>
      <c r="B100" s="27" t="s">
        <v>196</v>
      </c>
      <c r="C100" s="26"/>
      <c r="D100" s="26"/>
      <c r="E100" s="26"/>
      <c r="F100" s="26"/>
      <c r="G100" s="26"/>
      <c r="H100" s="26"/>
      <c r="I100" s="26"/>
      <c r="J100" s="26"/>
      <c r="K100" s="26"/>
      <c r="L100" s="26"/>
    </row>
    <row r="101" ht="14.25" customHeight="1">
      <c r="A101" s="26" t="s">
        <v>197</v>
      </c>
      <c r="B101" s="27" t="s">
        <v>198</v>
      </c>
      <c r="C101" s="26">
        <v>30.702680587768555</v>
      </c>
      <c r="D101" s="26">
        <v>30.702680587768555</v>
      </c>
      <c r="E101" s="26">
        <v>30.702680587768555</v>
      </c>
      <c r="F101" s="26">
        <v>23.63983926357832</v>
      </c>
      <c r="G101" s="26">
        <v>23.63983926357832</v>
      </c>
      <c r="H101" s="26">
        <v>23.63983926357832</v>
      </c>
      <c r="I101" s="26">
        <v>23.63983926357832</v>
      </c>
      <c r="J101" s="26">
        <v>23.63983926357832</v>
      </c>
      <c r="K101" s="26">
        <v>1.37607436251458</v>
      </c>
      <c r="L101" s="26">
        <v>1.37607436251458</v>
      </c>
    </row>
    <row r="102" ht="14.25" customHeight="1">
      <c r="A102" s="26" t="s">
        <v>199</v>
      </c>
      <c r="B102" s="27" t="s">
        <v>200</v>
      </c>
      <c r="C102" s="26">
        <v>2.9951736330986023</v>
      </c>
      <c r="D102" s="26">
        <v>2.9951736330986023</v>
      </c>
      <c r="E102" s="26">
        <v>2.9951736330986023</v>
      </c>
      <c r="F102" s="26">
        <v>2.9951736330986023</v>
      </c>
      <c r="G102" s="26">
        <v>1.30917871115283</v>
      </c>
      <c r="H102" s="26">
        <v>1.30917871115283</v>
      </c>
      <c r="I102" s="26">
        <v>1.30917871115283</v>
      </c>
      <c r="J102" s="26">
        <v>1.30917871115283</v>
      </c>
      <c r="K102" s="26">
        <v>1.30917871115283</v>
      </c>
      <c r="L102" s="26">
        <v>1.30917871115283</v>
      </c>
    </row>
    <row r="103" ht="14.25" customHeight="1">
      <c r="A103" s="26" t="s">
        <v>201</v>
      </c>
      <c r="B103" s="27" t="s">
        <v>202</v>
      </c>
      <c r="C103" s="26"/>
      <c r="D103" s="26"/>
      <c r="E103" s="26"/>
      <c r="F103" s="26"/>
      <c r="G103" s="26"/>
      <c r="H103" s="26"/>
      <c r="I103" s="26"/>
      <c r="J103" s="26"/>
      <c r="K103" s="26"/>
      <c r="L103" s="26"/>
    </row>
    <row r="104" ht="14.25" customHeight="1">
      <c r="A104" s="26" t="s">
        <v>203</v>
      </c>
      <c r="B104" s="27" t="s">
        <v>204</v>
      </c>
      <c r="C104" s="26">
        <v>5.153224989771843</v>
      </c>
      <c r="D104" s="26">
        <v>5.153224989771843</v>
      </c>
      <c r="E104" s="26">
        <v>5.153224989771843</v>
      </c>
      <c r="F104" s="26">
        <v>5.153224989771843</v>
      </c>
      <c r="G104" s="26">
        <v>5.153224989771843</v>
      </c>
      <c r="H104" s="26">
        <v>1.3234978508344901</v>
      </c>
      <c r="I104" s="26">
        <v>1.3234978508344901</v>
      </c>
      <c r="J104" s="26">
        <v>1.3234978508344901</v>
      </c>
      <c r="K104" s="26">
        <v>1.3234978508344901</v>
      </c>
      <c r="L104" s="26">
        <v>1.3234978508344901</v>
      </c>
    </row>
    <row r="105" ht="14.25" customHeight="1">
      <c r="A105" s="26" t="s">
        <v>205</v>
      </c>
      <c r="B105" s="27" t="s">
        <v>206</v>
      </c>
      <c r="C105" s="26"/>
      <c r="D105" s="26"/>
      <c r="E105" s="26"/>
      <c r="F105" s="26"/>
      <c r="G105" s="26"/>
      <c r="H105" s="26"/>
      <c r="I105" s="26"/>
      <c r="J105" s="26"/>
      <c r="K105" s="26"/>
      <c r="L105" s="26"/>
    </row>
    <row r="106" ht="14.25" customHeight="1">
      <c r="A106" s="26" t="s">
        <v>207</v>
      </c>
      <c r="B106" s="27" t="s">
        <v>208</v>
      </c>
      <c r="C106" s="26"/>
      <c r="D106" s="26"/>
      <c r="E106" s="26"/>
      <c r="F106" s="26"/>
      <c r="G106" s="26"/>
      <c r="H106" s="26"/>
      <c r="I106" s="26"/>
      <c r="J106" s="26"/>
      <c r="K106" s="26"/>
      <c r="L106" s="26"/>
    </row>
    <row r="107" ht="14.25" customHeight="1">
      <c r="A107" s="26" t="s">
        <v>209</v>
      </c>
      <c r="B107" s="27" t="s">
        <v>210</v>
      </c>
      <c r="C107" s="26"/>
      <c r="D107" s="26"/>
      <c r="E107" s="26"/>
      <c r="F107" s="26"/>
      <c r="G107" s="26"/>
      <c r="H107" s="26"/>
      <c r="I107" s="26"/>
      <c r="J107" s="26"/>
      <c r="K107" s="26"/>
      <c r="L107" s="26"/>
    </row>
    <row r="108" ht="14.25" customHeight="1">
      <c r="A108" s="26" t="s">
        <v>211</v>
      </c>
      <c r="B108" s="27" t="s">
        <v>212</v>
      </c>
      <c r="C108" s="26"/>
      <c r="D108" s="26"/>
      <c r="E108" s="26"/>
      <c r="F108" s="26"/>
      <c r="G108" s="26"/>
      <c r="H108" s="26"/>
      <c r="I108" s="26"/>
      <c r="J108" s="26"/>
      <c r="K108" s="26"/>
      <c r="L108" s="26"/>
    </row>
    <row r="109" ht="14.25" customHeight="1">
      <c r="A109" s="26" t="s">
        <v>213</v>
      </c>
      <c r="B109" s="27" t="s">
        <v>214</v>
      </c>
      <c r="C109" s="26"/>
      <c r="D109" s="26">
        <v>2.92447550971267</v>
      </c>
      <c r="E109" s="26">
        <v>2.92447550971267</v>
      </c>
      <c r="F109" s="26">
        <v>2.92447550971267</v>
      </c>
      <c r="G109" s="26">
        <v>2.92447550971267</v>
      </c>
      <c r="H109" s="26">
        <v>8.91694565916845</v>
      </c>
      <c r="I109" s="26">
        <v>8.91694565916845</v>
      </c>
      <c r="J109" s="26">
        <v>8.91694565916845</v>
      </c>
      <c r="K109" s="26">
        <v>8.91694565916845</v>
      </c>
      <c r="L109" s="26">
        <v>8.91694565916845</v>
      </c>
    </row>
    <row r="110" ht="14.25" customHeight="1">
      <c r="A110" s="26" t="s">
        <v>215</v>
      </c>
      <c r="B110" s="27" t="s">
        <v>216</v>
      </c>
      <c r="C110" s="26"/>
      <c r="D110" s="26"/>
      <c r="E110" s="26"/>
      <c r="F110" s="26"/>
      <c r="G110" s="26"/>
      <c r="H110" s="26"/>
      <c r="I110" s="26"/>
      <c r="J110" s="26"/>
      <c r="K110" s="26"/>
      <c r="L110" s="26"/>
    </row>
    <row r="111" ht="14.25" customHeight="1">
      <c r="A111" s="26" t="s">
        <v>217</v>
      </c>
      <c r="B111" s="27" t="s">
        <v>218</v>
      </c>
      <c r="C111" s="26">
        <v>0.050418992759659886</v>
      </c>
      <c r="D111" s="26">
        <v>0.050418992759659886</v>
      </c>
      <c r="E111" s="26">
        <v>0.050418992759659886</v>
      </c>
      <c r="F111" s="26">
        <v>0.050418992759659886</v>
      </c>
      <c r="G111" s="26">
        <v>0.050418992759659886</v>
      </c>
      <c r="H111" s="26">
        <v>0.10763930302363998</v>
      </c>
      <c r="I111" s="26">
        <v>0.10763930302363998</v>
      </c>
      <c r="J111" s="26">
        <v>0.10763930302363998</v>
      </c>
      <c r="K111" s="26">
        <v>0.10763930302363998</v>
      </c>
      <c r="L111" s="26">
        <v>0.10763930302363998</v>
      </c>
    </row>
    <row r="112" ht="14.25" customHeight="1">
      <c r="A112" s="26" t="s">
        <v>219</v>
      </c>
      <c r="B112" s="27" t="s">
        <v>220</v>
      </c>
      <c r="C112" s="26">
        <v>0.0225742</v>
      </c>
      <c r="D112" s="26">
        <v>0.0225742</v>
      </c>
      <c r="E112" s="26">
        <v>0.09256179405742</v>
      </c>
      <c r="F112" s="26">
        <v>0.09256179405742</v>
      </c>
      <c r="G112" s="26">
        <v>0.09256179405742</v>
      </c>
      <c r="H112" s="26">
        <v>0.09256179405742</v>
      </c>
      <c r="I112" s="26">
        <v>0.09256179405742</v>
      </c>
      <c r="J112" s="26">
        <v>0.09256179405742</v>
      </c>
      <c r="K112" s="26">
        <v>0.09256179405742</v>
      </c>
      <c r="L112" s="26">
        <v>0.09256179405742</v>
      </c>
    </row>
    <row r="113" ht="14.25" customHeight="1">
      <c r="A113" s="26" t="s">
        <v>221</v>
      </c>
      <c r="B113" s="27" t="s">
        <v>222</v>
      </c>
      <c r="C113" s="26">
        <v>40.9</v>
      </c>
      <c r="D113" s="26">
        <v>37.406114415052734</v>
      </c>
      <c r="E113" s="26">
        <v>37.406114415052734</v>
      </c>
      <c r="F113" s="26">
        <v>37.406114415052734</v>
      </c>
      <c r="G113" s="26">
        <v>37.406114415052734</v>
      </c>
      <c r="H113" s="26">
        <v>37.406114415052734</v>
      </c>
      <c r="I113" s="26">
        <v>37.406114415052734</v>
      </c>
      <c r="J113" s="26">
        <v>37.406114415052734</v>
      </c>
      <c r="K113" s="26">
        <v>37.406114415052734</v>
      </c>
      <c r="L113" s="26">
        <v>37.406114415052734</v>
      </c>
    </row>
    <row r="114" ht="14.25" customHeight="1">
      <c r="A114" s="26" t="s">
        <v>223</v>
      </c>
      <c r="B114" s="27" t="s">
        <v>224</v>
      </c>
      <c r="C114" s="26"/>
      <c r="D114" s="26"/>
      <c r="E114" s="26"/>
      <c r="F114" s="26"/>
      <c r="G114" s="26"/>
      <c r="H114" s="26"/>
      <c r="I114" s="26">
        <v>19.1664550811527</v>
      </c>
      <c r="J114" s="26">
        <v>19.1664550811527</v>
      </c>
      <c r="K114" s="26">
        <v>19.1664550811527</v>
      </c>
      <c r="L114" s="26">
        <v>19.1664550811527</v>
      </c>
    </row>
    <row r="115" ht="14.25" customHeight="1">
      <c r="A115" s="26" t="s">
        <v>225</v>
      </c>
      <c r="B115" s="27" t="s">
        <v>226</v>
      </c>
      <c r="C115" s="26"/>
      <c r="D115" s="26"/>
      <c r="E115" s="26"/>
      <c r="F115" s="26"/>
      <c r="G115" s="26"/>
      <c r="H115" s="26"/>
      <c r="I115" s="26"/>
      <c r="J115" s="26"/>
      <c r="K115" s="26"/>
      <c r="L115" s="26"/>
    </row>
    <row r="116" ht="14.25" customHeight="1">
      <c r="A116" s="26" t="s">
        <v>227</v>
      </c>
      <c r="B116" s="27" t="s">
        <v>228</v>
      </c>
      <c r="C116" s="26">
        <v>0.3966698</v>
      </c>
      <c r="D116" s="26">
        <v>1.882610283792019</v>
      </c>
      <c r="E116" s="26">
        <v>1.882610283792019</v>
      </c>
      <c r="F116" s="26">
        <v>1.882610283792019</v>
      </c>
      <c r="G116" s="26">
        <v>1.882610283792019</v>
      </c>
      <c r="H116" s="26">
        <v>0.03662257894377</v>
      </c>
      <c r="I116" s="26">
        <v>0.03662257894377</v>
      </c>
      <c r="J116" s="26">
        <v>0.03662257894377</v>
      </c>
      <c r="K116" s="26">
        <v>0.03662257894377</v>
      </c>
      <c r="L116" s="26">
        <v>0.03662257894377</v>
      </c>
    </row>
    <row r="117" ht="14.25" customHeight="1">
      <c r="A117" s="26" t="s">
        <v>229</v>
      </c>
      <c r="B117" s="27" t="s">
        <v>230</v>
      </c>
      <c r="C117" s="26">
        <v>26.76336169242859</v>
      </c>
      <c r="D117" s="26">
        <v>26.76336169242859</v>
      </c>
      <c r="E117" s="26">
        <v>26.76336169242859</v>
      </c>
      <c r="F117" s="26">
        <v>26.76336169242859</v>
      </c>
      <c r="G117" s="26">
        <v>12.024581887326779</v>
      </c>
      <c r="H117" s="26">
        <v>12.024581887326779</v>
      </c>
      <c r="I117" s="26">
        <v>12.024581887326779</v>
      </c>
      <c r="J117" s="26">
        <v>12.024581887326779</v>
      </c>
      <c r="K117" s="26">
        <v>12.024581887326779</v>
      </c>
      <c r="L117" s="26">
        <v>12.024581887326779</v>
      </c>
    </row>
    <row r="118" ht="14.25" customHeight="1">
      <c r="A118" s="26" t="s">
        <v>231</v>
      </c>
      <c r="B118" s="27" t="s">
        <v>232</v>
      </c>
      <c r="C118" s="26"/>
      <c r="D118" s="26"/>
      <c r="E118" s="26"/>
      <c r="F118" s="26"/>
      <c r="G118" s="26"/>
      <c r="H118" s="26"/>
      <c r="I118" s="26"/>
      <c r="J118" s="26"/>
      <c r="K118" s="26"/>
      <c r="L118" s="26"/>
    </row>
    <row r="119" ht="14.25" customHeight="1">
      <c r="A119" s="26" t="s">
        <v>233</v>
      </c>
      <c r="B119" s="27" t="s">
        <v>234</v>
      </c>
      <c r="C119" s="26"/>
      <c r="D119" s="26"/>
      <c r="E119" s="26"/>
      <c r="F119" s="26"/>
      <c r="G119" s="26"/>
      <c r="H119" s="26"/>
      <c r="I119" s="26"/>
      <c r="J119" s="26"/>
      <c r="K119" s="26"/>
      <c r="L119" s="26"/>
    </row>
    <row r="120" ht="14.25" customHeight="1">
      <c r="A120" s="26" t="s">
        <v>235</v>
      </c>
      <c r="B120" s="27" t="s">
        <v>236</v>
      </c>
      <c r="C120" s="26">
        <v>23.0</v>
      </c>
      <c r="D120" s="26">
        <v>27.122268080711365</v>
      </c>
      <c r="E120" s="26">
        <v>27.122268080711365</v>
      </c>
      <c r="F120" s="26">
        <v>27.122268080711365</v>
      </c>
      <c r="G120" s="26">
        <v>27.122268080711365</v>
      </c>
      <c r="H120" s="26">
        <v>15.892954486669849</v>
      </c>
      <c r="I120" s="26">
        <v>15.892954486669849</v>
      </c>
      <c r="J120" s="26">
        <v>15.892954486669849</v>
      </c>
      <c r="K120" s="26">
        <v>15.892954486669849</v>
      </c>
      <c r="L120" s="26">
        <v>15.892954486669849</v>
      </c>
    </row>
    <row r="121" ht="14.25" customHeight="1">
      <c r="A121" s="26" t="s">
        <v>237</v>
      </c>
      <c r="B121" s="27" t="s">
        <v>238</v>
      </c>
      <c r="C121" s="26">
        <v>47.95082211494446</v>
      </c>
      <c r="D121" s="26">
        <v>47.95082211494446</v>
      </c>
      <c r="E121" s="26">
        <v>47.95082211494446</v>
      </c>
      <c r="F121" s="26">
        <v>47.95082211494446</v>
      </c>
      <c r="G121" s="26">
        <v>47.95082211494446</v>
      </c>
      <c r="H121" s="26">
        <v>47.95082211494446</v>
      </c>
      <c r="I121" s="26">
        <v>47.95082211494446</v>
      </c>
      <c r="J121" s="26">
        <v>36.57293830713168</v>
      </c>
      <c r="K121" s="26">
        <v>36.57293830713168</v>
      </c>
      <c r="L121" s="26">
        <v>36.57293830713168</v>
      </c>
    </row>
    <row r="122" ht="14.25" customHeight="1">
      <c r="A122" s="26" t="s">
        <v>239</v>
      </c>
      <c r="B122" s="27" t="s">
        <v>240</v>
      </c>
      <c r="C122" s="26">
        <v>0.093366</v>
      </c>
      <c r="D122" s="26">
        <v>0.38827324702605</v>
      </c>
      <c r="E122" s="26">
        <v>0.38827324702605</v>
      </c>
      <c r="F122" s="26">
        <v>0.38827324702605</v>
      </c>
      <c r="G122" s="26">
        <v>0.38827324702605</v>
      </c>
      <c r="H122" s="26">
        <v>0.38827324702605</v>
      </c>
      <c r="I122" s="26">
        <v>0.38827324702605</v>
      </c>
      <c r="J122" s="26">
        <v>0.38827324702605</v>
      </c>
      <c r="K122" s="26">
        <v>0.38827324702605</v>
      </c>
      <c r="L122" s="26">
        <v>0.38827324702605</v>
      </c>
    </row>
    <row r="123" ht="14.25" customHeight="1">
      <c r="A123" s="26" t="s">
        <v>241</v>
      </c>
      <c r="B123" s="27" t="s">
        <v>242</v>
      </c>
      <c r="C123" s="26"/>
      <c r="D123" s="26"/>
      <c r="E123" s="26"/>
      <c r="F123" s="26"/>
      <c r="G123" s="26"/>
      <c r="H123" s="26"/>
      <c r="I123" s="26"/>
      <c r="J123" s="26"/>
      <c r="K123" s="26"/>
      <c r="L123" s="26"/>
    </row>
    <row r="124" ht="14.25" customHeight="1">
      <c r="A124" s="26" t="s">
        <v>243</v>
      </c>
      <c r="B124" s="27" t="s">
        <v>244</v>
      </c>
      <c r="C124" s="26"/>
      <c r="D124" s="26"/>
      <c r="E124" s="26"/>
      <c r="F124" s="26"/>
      <c r="G124" s="26"/>
      <c r="H124" s="26"/>
      <c r="I124" s="26"/>
      <c r="J124" s="26"/>
      <c r="K124" s="26"/>
      <c r="L124" s="26"/>
    </row>
    <row r="125" ht="14.25" customHeight="1">
      <c r="A125" s="26" t="s">
        <v>245</v>
      </c>
      <c r="B125" s="27" t="s">
        <v>246</v>
      </c>
      <c r="C125" s="26"/>
      <c r="D125" s="26"/>
      <c r="E125" s="26"/>
      <c r="F125" s="26"/>
      <c r="G125" s="26"/>
      <c r="H125" s="26"/>
      <c r="I125" s="26"/>
      <c r="J125" s="26"/>
      <c r="K125" s="26"/>
      <c r="L125" s="26"/>
    </row>
    <row r="126" ht="14.25" customHeight="1">
      <c r="A126" s="26" t="s">
        <v>247</v>
      </c>
      <c r="B126" s="27" t="s">
        <v>248</v>
      </c>
      <c r="C126" s="26">
        <v>70.48550844192505</v>
      </c>
      <c r="D126" s="26">
        <v>70.48550844192505</v>
      </c>
      <c r="E126" s="26">
        <v>70.48550844192505</v>
      </c>
      <c r="F126" s="26">
        <v>70.48550844192505</v>
      </c>
      <c r="G126" s="26">
        <v>70.48550844192505</v>
      </c>
      <c r="H126" s="26">
        <v>61.613219809918675</v>
      </c>
      <c r="I126" s="26">
        <v>61.613219809918675</v>
      </c>
      <c r="J126" s="26">
        <v>61.613219809918675</v>
      </c>
      <c r="K126" s="26">
        <v>58.80587341552187</v>
      </c>
      <c r="L126" s="26">
        <v>58.80587341552187</v>
      </c>
    </row>
    <row r="127" ht="14.25" customHeight="1">
      <c r="A127" s="26" t="s">
        <v>249</v>
      </c>
      <c r="B127" s="27" t="s">
        <v>250</v>
      </c>
      <c r="C127" s="26">
        <v>57.2</v>
      </c>
      <c r="D127" s="26">
        <v>50.12914</v>
      </c>
      <c r="E127" s="26">
        <v>50.12914</v>
      </c>
      <c r="F127" s="26">
        <v>49.583567197833176</v>
      </c>
      <c r="G127" s="26">
        <v>49.583567197833176</v>
      </c>
      <c r="H127" s="26">
        <v>49.583567197833176</v>
      </c>
      <c r="I127" s="26">
        <v>49.583567197833176</v>
      </c>
      <c r="J127" s="26">
        <v>34.94990200650029</v>
      </c>
      <c r="K127" s="26">
        <v>34.94990200650029</v>
      </c>
      <c r="L127" s="26">
        <v>34.94990200650029</v>
      </c>
    </row>
    <row r="128" ht="14.25" customHeight="1">
      <c r="A128" s="26" t="s">
        <v>251</v>
      </c>
      <c r="B128" s="27" t="s">
        <v>252</v>
      </c>
      <c r="C128" s="26"/>
      <c r="D128" s="26"/>
      <c r="E128" s="26"/>
      <c r="F128" s="26"/>
      <c r="G128" s="26"/>
      <c r="H128" s="26"/>
      <c r="I128" s="26"/>
      <c r="J128" s="26"/>
      <c r="K128" s="26"/>
      <c r="L128" s="26"/>
    </row>
    <row r="129" ht="14.25" customHeight="1">
      <c r="A129" s="26" t="s">
        <v>253</v>
      </c>
      <c r="B129" s="27" t="s">
        <v>254</v>
      </c>
      <c r="C129" s="26">
        <v>0.395662197843194</v>
      </c>
      <c r="D129" s="26">
        <v>0.395662197843194</v>
      </c>
      <c r="E129" s="26">
        <v>0.395662197843194</v>
      </c>
      <c r="F129" s="26">
        <v>0.395662197843194</v>
      </c>
      <c r="G129" s="26">
        <v>0.11271575053856</v>
      </c>
      <c r="H129" s="26">
        <v>0.11271575053856</v>
      </c>
      <c r="I129" s="26">
        <v>0.11271575053856</v>
      </c>
      <c r="J129" s="26">
        <v>0.11271575053856</v>
      </c>
      <c r="K129" s="26">
        <v>0.11271575053856</v>
      </c>
      <c r="L129" s="26">
        <v>0.11271575053856</v>
      </c>
    </row>
    <row r="130" ht="14.25" customHeight="1">
      <c r="A130" s="26" t="s">
        <v>255</v>
      </c>
      <c r="B130" s="27" t="s">
        <v>256</v>
      </c>
      <c r="C130" s="26">
        <v>63.77185</v>
      </c>
      <c r="D130" s="26">
        <v>63.77185</v>
      </c>
      <c r="E130" s="26">
        <v>68.0679202079773</v>
      </c>
      <c r="F130" s="26">
        <v>68.0679202079773</v>
      </c>
      <c r="G130" s="26">
        <v>68.0679202079773</v>
      </c>
      <c r="H130" s="26">
        <v>60.47973333557315</v>
      </c>
      <c r="I130" s="26">
        <v>60.47973333557315</v>
      </c>
      <c r="J130" s="26">
        <v>60.47973333557315</v>
      </c>
      <c r="K130" s="26">
        <v>60.47973333557315</v>
      </c>
      <c r="L130" s="26">
        <v>60.47973333557315</v>
      </c>
    </row>
    <row r="131" ht="14.25" customHeight="1">
      <c r="A131" s="26" t="s">
        <v>257</v>
      </c>
      <c r="B131" s="27" t="s">
        <v>258</v>
      </c>
      <c r="C131" s="26"/>
      <c r="D131" s="26"/>
      <c r="E131" s="26"/>
      <c r="F131" s="26"/>
      <c r="G131" s="26"/>
      <c r="H131" s="26"/>
      <c r="I131" s="26"/>
      <c r="J131" s="26"/>
      <c r="K131" s="26"/>
      <c r="L131" s="26"/>
    </row>
    <row r="132" ht="14.25" customHeight="1">
      <c r="A132" s="26" t="s">
        <v>259</v>
      </c>
      <c r="B132" s="27" t="s">
        <v>260</v>
      </c>
      <c r="C132" s="26"/>
      <c r="D132" s="26"/>
      <c r="E132" s="26"/>
      <c r="F132" s="26"/>
      <c r="G132" s="26"/>
      <c r="H132" s="26"/>
      <c r="I132" s="26"/>
      <c r="J132" s="26"/>
      <c r="K132" s="26"/>
      <c r="L132" s="26"/>
    </row>
    <row r="133" ht="14.25" customHeight="1">
      <c r="A133" s="26" t="s">
        <v>261</v>
      </c>
      <c r="B133" s="27" t="s">
        <v>262</v>
      </c>
      <c r="C133" s="26"/>
      <c r="D133" s="26"/>
      <c r="E133" s="26"/>
      <c r="F133" s="26"/>
      <c r="G133" s="26"/>
      <c r="H133" s="26"/>
      <c r="I133" s="26"/>
      <c r="J133" s="26"/>
      <c r="K133" s="26"/>
      <c r="L133" s="26"/>
    </row>
    <row r="134" ht="14.25" customHeight="1">
      <c r="A134" s="26" t="s">
        <v>263</v>
      </c>
      <c r="B134" s="27" t="s">
        <v>264</v>
      </c>
      <c r="C134" s="26">
        <v>39.32932</v>
      </c>
      <c r="D134" s="26">
        <v>39.32932</v>
      </c>
      <c r="E134" s="26">
        <v>43.29514199267416</v>
      </c>
      <c r="F134" s="26">
        <v>43.29514199267416</v>
      </c>
      <c r="G134" s="26">
        <v>43.29514199267416</v>
      </c>
      <c r="H134" s="26">
        <v>43.29514199267416</v>
      </c>
      <c r="I134" s="26">
        <v>43.29514199267416</v>
      </c>
      <c r="J134" s="26">
        <v>43.29514199267416</v>
      </c>
      <c r="K134" s="26">
        <v>69.45664852316787</v>
      </c>
      <c r="L134" s="26">
        <v>69.45664852316787</v>
      </c>
    </row>
    <row r="135" ht="14.25" customHeight="1">
      <c r="A135" s="26" t="s">
        <v>265</v>
      </c>
      <c r="B135" s="27" t="s">
        <v>266</v>
      </c>
      <c r="C135" s="26"/>
      <c r="D135" s="26"/>
      <c r="E135" s="26"/>
      <c r="F135" s="26"/>
      <c r="G135" s="26"/>
      <c r="H135" s="26"/>
      <c r="I135" s="26"/>
      <c r="J135" s="26"/>
      <c r="K135" s="26"/>
      <c r="L135" s="26"/>
    </row>
    <row r="136" ht="14.25" customHeight="1">
      <c r="A136" s="26" t="s">
        <v>267</v>
      </c>
      <c r="B136" s="27" t="s">
        <v>268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</row>
    <row r="137" ht="14.25" customHeight="1">
      <c r="A137" s="26" t="s">
        <v>269</v>
      </c>
      <c r="B137" s="27" t="s">
        <v>270</v>
      </c>
      <c r="C137" s="26">
        <v>0.8002287</v>
      </c>
      <c r="D137" s="26">
        <v>0.8002287</v>
      </c>
      <c r="E137" s="26">
        <v>0.4769238233566284</v>
      </c>
      <c r="F137" s="26">
        <v>1.43223606244233</v>
      </c>
      <c r="G137" s="26">
        <v>1.43223606244233</v>
      </c>
      <c r="H137" s="26">
        <v>1.43223606244233</v>
      </c>
      <c r="I137" s="26">
        <v>1.43223606244233</v>
      </c>
      <c r="J137" s="26">
        <v>60.47973333557317</v>
      </c>
      <c r="K137" s="26">
        <v>2.13294893562688</v>
      </c>
      <c r="L137" s="26">
        <v>2.13294893562688</v>
      </c>
    </row>
    <row r="138" ht="14.25" customHeight="1">
      <c r="A138" s="26" t="s">
        <v>271</v>
      </c>
      <c r="B138" s="27" t="s">
        <v>272</v>
      </c>
      <c r="C138" s="26"/>
      <c r="D138" s="26"/>
      <c r="E138" s="26"/>
      <c r="F138" s="26"/>
      <c r="G138" s="26"/>
      <c r="H138" s="26"/>
      <c r="I138" s="26"/>
      <c r="J138" s="26"/>
      <c r="K138" s="26"/>
      <c r="L138" s="26"/>
    </row>
    <row r="139" ht="14.25" customHeight="1">
      <c r="A139" s="26" t="s">
        <v>273</v>
      </c>
      <c r="B139" s="27" t="s">
        <v>274</v>
      </c>
      <c r="C139" s="26"/>
      <c r="D139" s="26"/>
      <c r="E139" s="26"/>
      <c r="F139" s="26"/>
      <c r="G139" s="26"/>
      <c r="H139" s="26"/>
      <c r="I139" s="26"/>
      <c r="J139" s="26"/>
      <c r="K139" s="26"/>
      <c r="L139" s="26"/>
    </row>
    <row r="140" ht="14.25" customHeight="1">
      <c r="A140" s="26" t="s">
        <v>275</v>
      </c>
      <c r="B140" s="27" t="s">
        <v>276</v>
      </c>
      <c r="C140" s="26">
        <v>8.636847138404846</v>
      </c>
      <c r="D140" s="26">
        <v>8.636847138404846</v>
      </c>
      <c r="E140" s="26">
        <v>8.636847138404846</v>
      </c>
      <c r="F140" s="26">
        <v>8.636847138404846</v>
      </c>
      <c r="G140" s="26">
        <v>8.636847138404846</v>
      </c>
      <c r="H140" s="26">
        <v>6.14740647666709</v>
      </c>
      <c r="I140" s="26">
        <v>6.14740647666709</v>
      </c>
      <c r="J140" s="26">
        <v>6.14740647666709</v>
      </c>
      <c r="K140" s="26">
        <v>6.14740647666709</v>
      </c>
      <c r="L140" s="26">
        <v>6.14740647666709</v>
      </c>
    </row>
    <row r="141" ht="14.25" customHeight="1">
      <c r="A141" s="26" t="s">
        <v>277</v>
      </c>
      <c r="B141" s="27" t="s">
        <v>278</v>
      </c>
      <c r="C141" s="26">
        <v>0.17404715763404965</v>
      </c>
      <c r="D141" s="26">
        <v>0.17404715763404965</v>
      </c>
      <c r="E141" s="26">
        <v>0.17404715763404965</v>
      </c>
      <c r="F141" s="26">
        <v>0.17404715763404965</v>
      </c>
      <c r="G141" s="26">
        <v>0.17404715763404965</v>
      </c>
      <c r="H141" s="26">
        <v>0.29355145873869004</v>
      </c>
      <c r="I141" s="26">
        <v>0.29355145873869004</v>
      </c>
      <c r="J141" s="26">
        <v>0.29355145873869004</v>
      </c>
      <c r="K141" s="26">
        <v>0.29355145873869004</v>
      </c>
      <c r="L141" s="26">
        <v>0.29355145873869004</v>
      </c>
    </row>
    <row r="142" ht="14.25" customHeight="1">
      <c r="A142" s="26" t="s">
        <v>279</v>
      </c>
      <c r="B142" s="27" t="s">
        <v>280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</row>
    <row r="143" ht="14.25" customHeight="1">
      <c r="A143" s="26" t="s">
        <v>281</v>
      </c>
      <c r="B143" s="27" t="s">
        <v>282</v>
      </c>
      <c r="C143" s="26">
        <v>11.683637648820877</v>
      </c>
      <c r="D143" s="26">
        <v>11.683637648820877</v>
      </c>
      <c r="E143" s="26">
        <v>11.683637648820877</v>
      </c>
      <c r="F143" s="26">
        <v>11.683637648820877</v>
      </c>
      <c r="G143" s="26">
        <v>11.683637648820877</v>
      </c>
      <c r="H143" s="26">
        <v>3.84551212812173</v>
      </c>
      <c r="I143" s="26">
        <v>3.84551212812173</v>
      </c>
      <c r="J143" s="26">
        <v>3.84551212812173</v>
      </c>
      <c r="K143" s="26">
        <v>3.84551212812173</v>
      </c>
      <c r="L143" s="26">
        <v>3.84551212812173</v>
      </c>
    </row>
    <row r="144" ht="14.25" customHeight="1">
      <c r="A144" s="26" t="s">
        <v>283</v>
      </c>
      <c r="B144" s="27" t="s">
        <v>284</v>
      </c>
      <c r="C144" s="26">
        <v>69.45664852316787</v>
      </c>
      <c r="D144" s="26">
        <v>69.45664852316787</v>
      </c>
      <c r="E144" s="26">
        <v>69.45664852316787</v>
      </c>
      <c r="F144" s="26">
        <v>69.45664852316787</v>
      </c>
      <c r="G144" s="26">
        <v>69.45664852316787</v>
      </c>
      <c r="H144" s="26">
        <v>69.45664852316787</v>
      </c>
      <c r="I144" s="26">
        <v>69.45664852316787</v>
      </c>
      <c r="J144" s="26">
        <v>55.78821285900113</v>
      </c>
      <c r="K144" s="26">
        <v>55.78821285900113</v>
      </c>
      <c r="L144" s="26">
        <v>55.78821285900113</v>
      </c>
    </row>
    <row r="145" ht="14.25" customHeight="1">
      <c r="A145" s="26" t="s">
        <v>285</v>
      </c>
      <c r="B145" s="27" t="s">
        <v>286</v>
      </c>
      <c r="C145" s="26"/>
      <c r="D145" s="26"/>
      <c r="E145" s="26"/>
      <c r="F145" s="26">
        <v>34.94990200650029</v>
      </c>
      <c r="G145" s="26">
        <v>34.94990200650029</v>
      </c>
      <c r="H145" s="26">
        <v>34.94990200650029</v>
      </c>
      <c r="I145" s="26">
        <v>34.94990200650029</v>
      </c>
      <c r="J145" s="26">
        <v>34.94990200650029</v>
      </c>
      <c r="K145" s="26">
        <v>34.94990200650029</v>
      </c>
      <c r="L145" s="26">
        <v>34.94990200650029</v>
      </c>
    </row>
    <row r="146" ht="14.25" customHeight="1">
      <c r="A146" s="26" t="s">
        <v>287</v>
      </c>
      <c r="B146" s="27" t="s">
        <v>288</v>
      </c>
      <c r="C146" s="26">
        <v>31.90936891583693</v>
      </c>
      <c r="D146" s="26">
        <v>31.90936891583693</v>
      </c>
      <c r="E146" s="26">
        <v>31.90936891583693</v>
      </c>
      <c r="F146" s="26">
        <v>31.90936891583693</v>
      </c>
      <c r="G146" s="26">
        <v>31.90936891583693</v>
      </c>
      <c r="H146" s="26">
        <v>31.90936891583693</v>
      </c>
      <c r="I146" s="26">
        <v>31.90936891583693</v>
      </c>
      <c r="J146" s="26">
        <v>31.90936891583693</v>
      </c>
      <c r="K146" s="26">
        <v>31.90936891583693</v>
      </c>
      <c r="L146" s="26">
        <v>31.90936891583693</v>
      </c>
    </row>
    <row r="147" ht="14.25" customHeight="1">
      <c r="A147" s="26" t="s">
        <v>289</v>
      </c>
      <c r="B147" s="27" t="s">
        <v>290</v>
      </c>
      <c r="C147" s="26"/>
      <c r="D147" s="26"/>
      <c r="E147" s="26"/>
      <c r="F147" s="26"/>
      <c r="G147" s="26"/>
      <c r="H147" s="26"/>
      <c r="I147" s="26"/>
      <c r="J147" s="26"/>
      <c r="K147" s="26"/>
      <c r="L147" s="26"/>
    </row>
    <row r="148" ht="14.25" customHeight="1">
      <c r="A148" s="26" t="s">
        <v>291</v>
      </c>
      <c r="B148" s="27" t="s">
        <v>292</v>
      </c>
      <c r="C148" s="26">
        <v>41.8</v>
      </c>
      <c r="D148" s="26">
        <v>27.093232</v>
      </c>
      <c r="E148" s="26">
        <v>27.093232</v>
      </c>
      <c r="F148" s="26">
        <v>31.788960099220276</v>
      </c>
      <c r="G148" s="26">
        <v>31.788960099220276</v>
      </c>
      <c r="H148" s="26">
        <v>31.788960099220276</v>
      </c>
      <c r="I148" s="26">
        <v>16.27845127612029</v>
      </c>
      <c r="J148" s="26">
        <v>16.27845127612029</v>
      </c>
      <c r="K148" s="26">
        <v>16.27845127612029</v>
      </c>
      <c r="L148" s="26">
        <v>16.27845127612029</v>
      </c>
    </row>
    <row r="149" ht="14.25" customHeight="1">
      <c r="A149" s="26" t="s">
        <v>293</v>
      </c>
      <c r="B149" s="27" t="s">
        <v>294</v>
      </c>
      <c r="C149" s="26"/>
      <c r="D149" s="26"/>
      <c r="E149" s="26"/>
      <c r="F149" s="26"/>
      <c r="G149" s="26"/>
      <c r="H149" s="26"/>
      <c r="I149" s="26"/>
      <c r="J149" s="26"/>
      <c r="K149" s="26"/>
      <c r="L149" s="26"/>
    </row>
    <row r="150" ht="14.25" customHeight="1">
      <c r="A150" s="26" t="s">
        <v>295</v>
      </c>
      <c r="B150" s="27" t="s">
        <v>296</v>
      </c>
      <c r="C150" s="26"/>
      <c r="D150" s="26"/>
      <c r="E150" s="26"/>
      <c r="F150" s="26"/>
      <c r="G150" s="26"/>
      <c r="H150" s="26"/>
      <c r="I150" s="26"/>
      <c r="J150" s="26"/>
      <c r="K150" s="26"/>
      <c r="L150" s="26"/>
    </row>
    <row r="151" ht="14.25" customHeight="1">
      <c r="A151" s="26" t="s">
        <v>297</v>
      </c>
      <c r="B151" s="27" t="s">
        <v>298</v>
      </c>
      <c r="C151" s="26"/>
      <c r="D151" s="26"/>
      <c r="E151" s="26"/>
      <c r="F151" s="26"/>
      <c r="G151" s="26"/>
      <c r="H151" s="26"/>
      <c r="I151" s="26"/>
      <c r="J151" s="26"/>
      <c r="K151" s="26"/>
      <c r="L151" s="26"/>
    </row>
    <row r="152" ht="14.25" customHeight="1">
      <c r="A152" s="26" t="s">
        <v>299</v>
      </c>
      <c r="B152" s="27" t="s">
        <v>300</v>
      </c>
      <c r="C152" s="26">
        <v>13.511137869083331</v>
      </c>
      <c r="D152" s="26">
        <v>13.511137869083331</v>
      </c>
      <c r="E152" s="26">
        <v>13.511137869083331</v>
      </c>
      <c r="F152" s="26">
        <v>13.511137869083331</v>
      </c>
      <c r="G152" s="26">
        <v>13.511137869083331</v>
      </c>
      <c r="H152" s="26">
        <v>13.511137869083331</v>
      </c>
      <c r="I152" s="26">
        <v>13.511137869083331</v>
      </c>
      <c r="J152" s="26">
        <v>13.511137869083331</v>
      </c>
      <c r="K152" s="26">
        <v>13.511137869083331</v>
      </c>
      <c r="L152" s="26">
        <v>13.511137869083331</v>
      </c>
    </row>
    <row r="153" ht="14.25" customHeight="1">
      <c r="A153" s="26" t="s">
        <v>301</v>
      </c>
      <c r="B153" s="27" t="s">
        <v>302</v>
      </c>
      <c r="C153" s="26">
        <v>88.902598565057</v>
      </c>
      <c r="D153" s="26">
        <v>88.902598565057</v>
      </c>
      <c r="E153" s="26">
        <v>88.902598565057</v>
      </c>
      <c r="F153" s="26">
        <v>88.902598565057</v>
      </c>
      <c r="G153" s="26">
        <v>88.902598565057</v>
      </c>
      <c r="H153" s="26">
        <v>88.902598565057</v>
      </c>
      <c r="I153" s="26">
        <v>88.902598565057</v>
      </c>
      <c r="J153" s="26">
        <v>88.902598565057</v>
      </c>
      <c r="K153" s="26">
        <v>88.902598565057</v>
      </c>
      <c r="L153" s="26">
        <v>88.902598565057</v>
      </c>
    </row>
    <row r="154" ht="14.25" customHeight="1">
      <c r="A154" s="26" t="s">
        <v>303</v>
      </c>
      <c r="B154" s="27" t="s">
        <v>304</v>
      </c>
      <c r="C154" s="26">
        <v>32.94913</v>
      </c>
      <c r="D154" s="26">
        <v>32.94913</v>
      </c>
      <c r="E154" s="26">
        <v>32.94913</v>
      </c>
      <c r="F154" s="26">
        <v>32.94913</v>
      </c>
      <c r="G154" s="26">
        <v>38.63866925239563</v>
      </c>
      <c r="H154" s="26">
        <v>32.81695218755872</v>
      </c>
      <c r="I154" s="26">
        <v>32.81695218755872</v>
      </c>
      <c r="J154" s="26">
        <v>32.81695218755872</v>
      </c>
      <c r="K154" s="26">
        <v>24.69932632886734</v>
      </c>
      <c r="L154" s="26">
        <v>24.69932632886734</v>
      </c>
    </row>
    <row r="155" ht="14.25" customHeight="1">
      <c r="A155" s="26" t="s">
        <v>305</v>
      </c>
      <c r="B155" s="27" t="s">
        <v>306</v>
      </c>
      <c r="C155" s="26"/>
      <c r="D155" s="26"/>
      <c r="E155" s="26"/>
      <c r="F155" s="26"/>
      <c r="G155" s="26"/>
      <c r="H155" s="26"/>
      <c r="I155" s="26"/>
      <c r="J155" s="26"/>
      <c r="K155" s="26"/>
      <c r="L155" s="26"/>
    </row>
    <row r="156" ht="14.25" customHeight="1">
      <c r="A156" s="26" t="s">
        <v>307</v>
      </c>
      <c r="B156" s="27" t="s">
        <v>308</v>
      </c>
      <c r="C156" s="26">
        <v>0.814380869269371</v>
      </c>
      <c r="D156" s="26">
        <v>0.814380869269371</v>
      </c>
      <c r="E156" s="26">
        <v>0.814380869269371</v>
      </c>
      <c r="F156" s="26">
        <v>0.814380869269371</v>
      </c>
      <c r="G156" s="26">
        <v>0.814380869269371</v>
      </c>
      <c r="H156" s="26">
        <v>0.814380869269371</v>
      </c>
      <c r="I156" s="26">
        <v>0.0</v>
      </c>
      <c r="J156" s="26">
        <v>0.0</v>
      </c>
      <c r="K156" s="26">
        <v>0.0</v>
      </c>
      <c r="L156" s="26">
        <v>0.0</v>
      </c>
    </row>
    <row r="157" ht="14.25" customHeight="1">
      <c r="A157" s="26" t="s">
        <v>309</v>
      </c>
      <c r="B157" s="27" t="s">
        <v>310</v>
      </c>
      <c r="C157" s="26"/>
      <c r="D157" s="26"/>
      <c r="E157" s="26"/>
      <c r="F157" s="26"/>
      <c r="G157" s="26"/>
      <c r="H157" s="26"/>
      <c r="I157" s="26"/>
      <c r="J157" s="26"/>
      <c r="K157" s="26"/>
      <c r="L157" s="26"/>
    </row>
    <row r="158" ht="14.25" customHeight="1">
      <c r="A158" s="26" t="s">
        <v>311</v>
      </c>
      <c r="B158" s="27" t="s">
        <v>312</v>
      </c>
      <c r="C158" s="26"/>
      <c r="D158" s="26"/>
      <c r="E158" s="26"/>
      <c r="F158" s="26"/>
      <c r="G158" s="26"/>
      <c r="H158" s="26"/>
      <c r="I158" s="26"/>
      <c r="J158" s="26"/>
      <c r="K158" s="26"/>
      <c r="L158" s="26"/>
    </row>
    <row r="159" ht="14.25" customHeight="1">
      <c r="A159" s="26" t="s">
        <v>313</v>
      </c>
      <c r="B159" s="27" t="s">
        <v>314</v>
      </c>
      <c r="C159" s="26"/>
      <c r="D159" s="26"/>
      <c r="E159" s="26"/>
      <c r="F159" s="26"/>
      <c r="G159" s="26"/>
      <c r="H159" s="26"/>
      <c r="I159" s="26"/>
      <c r="J159" s="26"/>
      <c r="K159" s="26"/>
      <c r="L159" s="26"/>
    </row>
    <row r="160" ht="14.25" customHeight="1">
      <c r="A160" s="26" t="s">
        <v>315</v>
      </c>
      <c r="B160" s="27" t="s">
        <v>316</v>
      </c>
      <c r="C160" s="26">
        <v>35.576364398002625</v>
      </c>
      <c r="D160" s="26">
        <v>35.576364398002625</v>
      </c>
      <c r="E160" s="26">
        <v>35.576364398002625</v>
      </c>
      <c r="F160" s="26">
        <v>35.576364398002625</v>
      </c>
      <c r="G160" s="26">
        <v>35.576364398002625</v>
      </c>
      <c r="H160" s="26">
        <v>30.643726242035456</v>
      </c>
      <c r="I160" s="26">
        <v>30.643726242035456</v>
      </c>
      <c r="J160" s="26">
        <v>30.643726242035456</v>
      </c>
      <c r="K160" s="26">
        <v>30.643726242035456</v>
      </c>
      <c r="L160" s="26">
        <v>30.643726242035456</v>
      </c>
    </row>
    <row r="161" ht="14.25" customHeight="1">
      <c r="A161" s="26" t="s">
        <v>317</v>
      </c>
      <c r="B161" s="27" t="s">
        <v>318</v>
      </c>
      <c r="C161" s="26"/>
      <c r="D161" s="26"/>
      <c r="E161" s="26"/>
      <c r="F161" s="26"/>
      <c r="G161" s="26"/>
      <c r="H161" s="26"/>
      <c r="I161" s="26"/>
      <c r="J161" s="26"/>
      <c r="K161" s="26"/>
      <c r="L161" s="26"/>
    </row>
    <row r="162" ht="14.25" customHeight="1">
      <c r="A162" s="26" t="s">
        <v>319</v>
      </c>
      <c r="B162" s="27" t="s">
        <v>320</v>
      </c>
      <c r="C162" s="26"/>
      <c r="D162" s="26"/>
      <c r="E162" s="26"/>
      <c r="F162" s="26"/>
      <c r="G162" s="26"/>
      <c r="H162" s="26"/>
      <c r="I162" s="26"/>
      <c r="J162" s="26"/>
      <c r="K162" s="26"/>
      <c r="L162" s="26"/>
    </row>
    <row r="163" ht="14.25" customHeight="1">
      <c r="A163" s="26" t="s">
        <v>321</v>
      </c>
      <c r="B163" s="27" t="s">
        <v>322</v>
      </c>
      <c r="C163" s="26"/>
      <c r="D163" s="26"/>
      <c r="E163" s="26"/>
      <c r="F163" s="26"/>
      <c r="G163" s="26"/>
      <c r="H163" s="26">
        <v>52.69540214244214</v>
      </c>
      <c r="I163" s="26">
        <v>52.69540214244214</v>
      </c>
      <c r="J163" s="26">
        <v>52.69540214244214</v>
      </c>
      <c r="K163" s="26">
        <v>52.69540214244214</v>
      </c>
      <c r="L163" s="26">
        <v>52.69540214244214</v>
      </c>
    </row>
    <row r="164" ht="14.25" customHeight="1">
      <c r="A164" s="26" t="s">
        <v>323</v>
      </c>
      <c r="B164" s="27" t="s">
        <v>324</v>
      </c>
      <c r="C164" s="26">
        <v>7.5</v>
      </c>
      <c r="D164" s="26"/>
      <c r="E164" s="26"/>
      <c r="F164" s="26">
        <v>3.65746774862977</v>
      </c>
      <c r="G164" s="26">
        <v>3.65746774862977</v>
      </c>
      <c r="H164" s="26">
        <v>3.65746774862977</v>
      </c>
      <c r="I164" s="26">
        <v>3.65746774862977</v>
      </c>
      <c r="J164" s="26">
        <v>3.65746774862977</v>
      </c>
      <c r="K164" s="26">
        <v>3.65746774862977</v>
      </c>
      <c r="L164" s="26">
        <v>3.65746774862977</v>
      </c>
    </row>
    <row r="165" ht="14.25" customHeight="1">
      <c r="A165" s="26" t="s">
        <v>325</v>
      </c>
      <c r="B165" s="27" t="s">
        <v>326</v>
      </c>
      <c r="C165" s="26">
        <v>12.468037754297256</v>
      </c>
      <c r="D165" s="26">
        <v>12.468037754297256</v>
      </c>
      <c r="E165" s="26">
        <v>12.468037754297256</v>
      </c>
      <c r="F165" s="26">
        <v>12.468037754297256</v>
      </c>
      <c r="G165" s="26">
        <v>12.468037754297256</v>
      </c>
      <c r="H165" s="26">
        <v>7.10679514286016</v>
      </c>
      <c r="I165" s="26">
        <v>30.643726242035456</v>
      </c>
      <c r="J165" s="26">
        <v>30.643726242035456</v>
      </c>
      <c r="K165" s="26">
        <v>6.32003122812608</v>
      </c>
      <c r="L165" s="26">
        <v>6.32003122812608</v>
      </c>
    </row>
    <row r="166" ht="14.25" customHeight="1">
      <c r="A166" s="26" t="s">
        <v>327</v>
      </c>
      <c r="B166" s="27" t="s">
        <v>328</v>
      </c>
      <c r="C166" s="26">
        <v>5.2452921867370605</v>
      </c>
      <c r="D166" s="26">
        <v>5.2452921867370605</v>
      </c>
      <c r="E166" s="26">
        <v>5.2452921867370605</v>
      </c>
      <c r="F166" s="26">
        <v>5.2452921867370605</v>
      </c>
      <c r="G166" s="26">
        <v>4.43379885135252</v>
      </c>
      <c r="H166" s="26">
        <v>4.43379885135252</v>
      </c>
      <c r="I166" s="26">
        <v>4.43379885135252</v>
      </c>
      <c r="J166" s="26">
        <v>4.43379885135252</v>
      </c>
      <c r="K166" s="26">
        <v>4.43379885135252</v>
      </c>
      <c r="L166" s="26">
        <v>4.43379885135252</v>
      </c>
    </row>
    <row r="167" ht="14.25" customHeight="1">
      <c r="A167" s="26" t="s">
        <v>329</v>
      </c>
      <c r="B167" s="27" t="s">
        <v>330</v>
      </c>
      <c r="C167" s="26"/>
      <c r="D167" s="26"/>
      <c r="E167" s="26"/>
      <c r="F167" s="26"/>
      <c r="G167" s="26"/>
      <c r="H167" s="26"/>
      <c r="I167" s="26"/>
      <c r="J167" s="26"/>
      <c r="K167" s="26"/>
      <c r="L167" s="26"/>
    </row>
    <row r="168" ht="14.25" customHeight="1">
      <c r="A168" s="26" t="s">
        <v>331</v>
      </c>
      <c r="B168" s="27" t="s">
        <v>332</v>
      </c>
      <c r="C168" s="26"/>
      <c r="D168" s="26"/>
      <c r="E168" s="26"/>
      <c r="F168" s="26"/>
      <c r="G168" s="26"/>
      <c r="H168" s="26"/>
      <c r="I168" s="26"/>
      <c r="J168" s="26"/>
      <c r="K168" s="26"/>
      <c r="L168" s="26"/>
    </row>
    <row r="169" ht="14.25" customHeight="1">
      <c r="A169" s="26" t="s">
        <v>333</v>
      </c>
      <c r="B169" s="27" t="s">
        <v>334</v>
      </c>
      <c r="C169" s="26"/>
      <c r="D169" s="26"/>
      <c r="E169" s="26"/>
      <c r="F169" s="26"/>
      <c r="G169" s="26"/>
      <c r="H169" s="26"/>
      <c r="I169" s="26"/>
      <c r="J169" s="26"/>
      <c r="K169" s="26"/>
      <c r="L169" s="26"/>
    </row>
    <row r="170" ht="14.25" customHeight="1">
      <c r="A170" s="26" t="s">
        <v>335</v>
      </c>
      <c r="B170" s="27" t="s">
        <v>336</v>
      </c>
      <c r="C170" s="26"/>
      <c r="D170" s="26"/>
      <c r="E170" s="26"/>
      <c r="F170" s="26"/>
      <c r="G170" s="26"/>
      <c r="H170" s="26"/>
      <c r="I170" s="26"/>
      <c r="J170" s="26"/>
      <c r="K170" s="26"/>
      <c r="L170" s="26"/>
    </row>
    <row r="171" ht="14.25" customHeight="1">
      <c r="A171" s="26" t="s">
        <v>337</v>
      </c>
      <c r="B171" s="27" t="s">
        <v>338</v>
      </c>
      <c r="C171" s="26"/>
      <c r="D171" s="26"/>
      <c r="E171" s="26"/>
      <c r="F171" s="26"/>
      <c r="G171" s="26"/>
      <c r="H171" s="26"/>
      <c r="I171" s="26"/>
      <c r="J171" s="26"/>
      <c r="K171" s="26"/>
      <c r="L171" s="26"/>
    </row>
    <row r="172" ht="14.25" customHeight="1">
      <c r="A172" s="26" t="s">
        <v>339</v>
      </c>
      <c r="B172" s="27" t="s">
        <v>340</v>
      </c>
      <c r="C172" s="26">
        <v>0.55262262165272</v>
      </c>
      <c r="D172" s="26">
        <v>0.55262262165272</v>
      </c>
      <c r="E172" s="26">
        <v>0.55262262165272</v>
      </c>
      <c r="F172" s="26">
        <v>0.55262262165272</v>
      </c>
      <c r="G172" s="26">
        <v>0.55262262165272</v>
      </c>
      <c r="H172" s="26">
        <v>0.55262262165272</v>
      </c>
      <c r="I172" s="26">
        <v>0.55262262165272</v>
      </c>
      <c r="J172" s="26">
        <v>0.55262262165272</v>
      </c>
      <c r="K172" s="26">
        <v>0.55262262165272</v>
      </c>
      <c r="L172" s="26">
        <v>0.55262262165272</v>
      </c>
    </row>
    <row r="173" ht="14.25" customHeight="1">
      <c r="A173" s="26" t="s">
        <v>341</v>
      </c>
      <c r="B173" s="27" t="s">
        <v>342</v>
      </c>
      <c r="C173" s="26"/>
      <c r="D173" s="26"/>
      <c r="E173" s="26"/>
      <c r="F173" s="26"/>
      <c r="G173" s="26"/>
      <c r="H173" s="26"/>
      <c r="I173" s="26"/>
      <c r="J173" s="26"/>
      <c r="K173" s="26"/>
      <c r="L173" s="26"/>
    </row>
    <row r="174" ht="14.25" customHeight="1">
      <c r="A174" s="26" t="s">
        <v>343</v>
      </c>
      <c r="B174" s="27" t="s">
        <v>344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</row>
    <row r="175" ht="14.25" customHeight="1">
      <c r="A175" s="26" t="s">
        <v>345</v>
      </c>
      <c r="B175" s="27" t="s">
        <v>346</v>
      </c>
      <c r="C175" s="26">
        <v>0.0</v>
      </c>
      <c r="D175" s="26"/>
      <c r="E175" s="26"/>
      <c r="F175" s="26"/>
      <c r="G175" s="26"/>
      <c r="H175" s="26"/>
      <c r="I175" s="26"/>
      <c r="J175" s="26"/>
      <c r="K175" s="26"/>
      <c r="L175" s="26"/>
    </row>
    <row r="176" ht="14.25" customHeight="1">
      <c r="A176" s="26" t="s">
        <v>347</v>
      </c>
      <c r="B176" s="27" t="s">
        <v>348</v>
      </c>
      <c r="C176" s="26">
        <v>63.0</v>
      </c>
      <c r="D176" s="26">
        <v>63.0</v>
      </c>
      <c r="E176" s="26">
        <v>51.46506914475584</v>
      </c>
      <c r="F176" s="26">
        <v>51.46506914475584</v>
      </c>
      <c r="G176" s="26">
        <v>51.46506914475584</v>
      </c>
      <c r="H176" s="26">
        <v>51.46506914475584</v>
      </c>
      <c r="I176" s="26">
        <v>51.46506914475584</v>
      </c>
      <c r="J176" s="26">
        <v>4.43379885135252</v>
      </c>
      <c r="K176" s="26">
        <v>4.43379885135252</v>
      </c>
      <c r="L176" s="26">
        <v>4.43379885135252</v>
      </c>
    </row>
    <row r="177" ht="14.25" customHeight="1">
      <c r="A177" s="26" t="s">
        <v>349</v>
      </c>
      <c r="B177" s="27" t="s">
        <v>350</v>
      </c>
      <c r="C177" s="26"/>
      <c r="D177" s="26"/>
      <c r="E177" s="26"/>
      <c r="F177" s="26"/>
      <c r="G177" s="26"/>
      <c r="H177" s="26"/>
      <c r="I177" s="26"/>
      <c r="J177" s="26"/>
      <c r="K177" s="26"/>
      <c r="L177" s="26"/>
    </row>
    <row r="178" ht="14.25" customHeight="1">
      <c r="A178" s="26" t="s">
        <v>351</v>
      </c>
      <c r="B178" s="27" t="s">
        <v>352</v>
      </c>
      <c r="C178" s="26"/>
      <c r="D178" s="26"/>
      <c r="E178" s="26"/>
      <c r="F178" s="26"/>
      <c r="G178" s="26"/>
      <c r="H178" s="26"/>
      <c r="I178" s="26"/>
      <c r="J178" s="26"/>
      <c r="K178" s="26"/>
      <c r="L178" s="26"/>
    </row>
    <row r="179" ht="14.25" customHeight="1">
      <c r="A179" s="26" t="s">
        <v>353</v>
      </c>
      <c r="B179" s="27" t="s">
        <v>354</v>
      </c>
      <c r="C179" s="26"/>
      <c r="D179" s="26"/>
      <c r="E179" s="26"/>
      <c r="F179" s="26"/>
      <c r="G179" s="26"/>
      <c r="H179" s="26"/>
      <c r="I179" s="26"/>
      <c r="J179" s="26"/>
      <c r="K179" s="26"/>
      <c r="L179" s="26"/>
    </row>
    <row r="180" ht="14.25" customHeight="1">
      <c r="A180" s="26" t="s">
        <v>355</v>
      </c>
      <c r="B180" s="27" t="s">
        <v>356</v>
      </c>
      <c r="C180" s="26">
        <v>1.10347781919339</v>
      </c>
      <c r="D180" s="26">
        <v>1.10347781919339</v>
      </c>
      <c r="E180" s="26">
        <v>1.10347781919339</v>
      </c>
      <c r="F180" s="26">
        <v>1.10347781919339</v>
      </c>
      <c r="G180" s="26">
        <v>1.10347781919339</v>
      </c>
      <c r="H180" s="26">
        <v>1.10347781919339</v>
      </c>
      <c r="I180" s="26">
        <v>1.10347781919339</v>
      </c>
      <c r="J180" s="26">
        <v>1.10347781919339</v>
      </c>
      <c r="K180" s="26">
        <v>1.10347781919339</v>
      </c>
      <c r="L180" s="26">
        <v>1.10347781919339</v>
      </c>
    </row>
    <row r="181" ht="14.25" customHeight="1">
      <c r="A181" s="26" t="s">
        <v>357</v>
      </c>
      <c r="B181" s="27" t="s">
        <v>358</v>
      </c>
      <c r="C181" s="26"/>
      <c r="D181" s="26"/>
      <c r="E181" s="26"/>
      <c r="F181" s="26"/>
      <c r="G181" s="26"/>
      <c r="H181" s="26"/>
      <c r="I181" s="26"/>
      <c r="J181" s="26"/>
      <c r="K181" s="26"/>
      <c r="L181" s="26"/>
    </row>
    <row r="182" ht="14.25" customHeight="1">
      <c r="A182" s="26" t="s">
        <v>359</v>
      </c>
      <c r="B182" s="27" t="s">
        <v>360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</row>
    <row r="183" ht="14.25" customHeight="1">
      <c r="A183" s="26" t="s">
        <v>361</v>
      </c>
      <c r="B183" s="27" t="s">
        <v>362</v>
      </c>
      <c r="C183" s="26"/>
      <c r="D183" s="26"/>
      <c r="E183" s="26"/>
      <c r="F183" s="26"/>
      <c r="G183" s="26"/>
      <c r="H183" s="26"/>
      <c r="I183" s="26"/>
      <c r="J183" s="26"/>
      <c r="K183" s="26"/>
      <c r="L183" s="26"/>
    </row>
    <row r="184" ht="14.25" customHeight="1">
      <c r="A184" s="26" t="s">
        <v>363</v>
      </c>
      <c r="B184" s="27" t="s">
        <v>364</v>
      </c>
      <c r="C184" s="26"/>
      <c r="D184" s="26"/>
      <c r="E184" s="26"/>
      <c r="F184" s="26"/>
      <c r="G184" s="26"/>
      <c r="H184" s="26"/>
      <c r="I184" s="26"/>
      <c r="J184" s="26">
        <v>0.01462739272189</v>
      </c>
      <c r="K184" s="26">
        <v>0.01462739272189</v>
      </c>
      <c r="L184" s="26">
        <v>0.01462739272189</v>
      </c>
    </row>
    <row r="185" ht="14.25" customHeight="1">
      <c r="A185" s="26" t="s">
        <v>365</v>
      </c>
      <c r="B185" s="27" t="s">
        <v>366</v>
      </c>
      <c r="C185" s="26"/>
      <c r="D185" s="26"/>
      <c r="E185" s="26"/>
      <c r="F185" s="26"/>
      <c r="G185" s="26"/>
      <c r="H185" s="26"/>
      <c r="I185" s="26"/>
      <c r="J185" s="26"/>
      <c r="K185" s="26"/>
      <c r="L185" s="26"/>
    </row>
    <row r="186" ht="14.25" customHeight="1">
      <c r="A186" s="26" t="s">
        <v>367</v>
      </c>
      <c r="B186" s="27" t="s">
        <v>368</v>
      </c>
      <c r="C186" s="26">
        <v>0.5</v>
      </c>
      <c r="D186" s="26">
        <v>0.9567375294864178</v>
      </c>
      <c r="E186" s="26">
        <v>0.9567375294864178</v>
      </c>
      <c r="F186" s="26">
        <v>0.9567375294864178</v>
      </c>
      <c r="G186" s="26">
        <v>0.9567375294864178</v>
      </c>
      <c r="H186" s="26">
        <v>0.9567375294864178</v>
      </c>
      <c r="I186" s="26">
        <v>0.45482195395297</v>
      </c>
      <c r="J186" s="26">
        <v>0.45482195395297</v>
      </c>
      <c r="K186" s="26">
        <v>0.45482195395297</v>
      </c>
      <c r="L186" s="26">
        <v>0.45482195395297</v>
      </c>
    </row>
    <row r="187" ht="14.25" customHeight="1">
      <c r="A187" s="26" t="s">
        <v>369</v>
      </c>
      <c r="B187" s="27" t="s">
        <v>370</v>
      </c>
      <c r="C187" s="26"/>
      <c r="D187" s="26"/>
      <c r="E187" s="26"/>
      <c r="F187" s="26"/>
      <c r="G187" s="26"/>
      <c r="H187" s="26"/>
      <c r="I187" s="26"/>
      <c r="J187" s="26"/>
      <c r="K187" s="26"/>
      <c r="L187" s="26"/>
    </row>
    <row r="188" ht="14.25" customHeight="1">
      <c r="A188" s="26" t="s">
        <v>371</v>
      </c>
      <c r="B188" s="27" t="s">
        <v>372</v>
      </c>
      <c r="C188" s="26">
        <v>23.29334</v>
      </c>
      <c r="D188" s="26">
        <v>24.70156</v>
      </c>
      <c r="E188" s="26">
        <v>20.434293746948242</v>
      </c>
      <c r="F188" s="26">
        <v>31.501248478889465</v>
      </c>
      <c r="G188" s="26">
        <v>29.655563831329346</v>
      </c>
      <c r="H188" s="26">
        <v>29.655563831329346</v>
      </c>
      <c r="I188" s="26">
        <v>22.52622654840371</v>
      </c>
      <c r="J188" s="26">
        <v>22.52622654840371</v>
      </c>
      <c r="K188" s="26">
        <v>22.52622654840371</v>
      </c>
      <c r="L188" s="26">
        <v>22.52622654840371</v>
      </c>
    </row>
    <row r="189" ht="14.25" customHeight="1">
      <c r="A189" s="26" t="s">
        <v>373</v>
      </c>
      <c r="B189" s="27" t="s">
        <v>374</v>
      </c>
      <c r="C189" s="26">
        <v>0.0601307</v>
      </c>
      <c r="D189" s="26">
        <v>0.21209088154137135</v>
      </c>
      <c r="E189" s="26">
        <v>0.21209088154137135</v>
      </c>
      <c r="F189" s="26">
        <v>0.21209088154137135</v>
      </c>
      <c r="G189" s="26">
        <v>0.21209088154137135</v>
      </c>
      <c r="H189" s="26">
        <v>0.21209088154137135</v>
      </c>
      <c r="I189" s="26">
        <v>0.04688621010735</v>
      </c>
      <c r="J189" s="26">
        <v>0.04688621010735</v>
      </c>
      <c r="K189" s="26">
        <v>0.04688621010735</v>
      </c>
      <c r="L189" s="26">
        <v>0.04688621010735</v>
      </c>
    </row>
    <row r="190" ht="14.25" customHeight="1">
      <c r="A190" s="26" t="s">
        <v>375</v>
      </c>
      <c r="B190" s="27" t="s">
        <v>376</v>
      </c>
      <c r="C190" s="26"/>
      <c r="D190" s="26"/>
      <c r="E190" s="26"/>
      <c r="F190" s="26"/>
      <c r="G190" s="26"/>
      <c r="H190" s="26"/>
      <c r="I190" s="26">
        <v>0.0</v>
      </c>
      <c r="J190" s="26">
        <v>0.0</v>
      </c>
      <c r="K190" s="26">
        <v>0.0</v>
      </c>
      <c r="L190" s="26">
        <v>0.0</v>
      </c>
    </row>
    <row r="191" ht="14.25" customHeight="1">
      <c r="A191" s="26" t="s">
        <v>377</v>
      </c>
      <c r="B191" s="27" t="s">
        <v>378</v>
      </c>
      <c r="C191" s="26">
        <v>58.37442874908447</v>
      </c>
      <c r="D191" s="26">
        <v>58.37442874908447</v>
      </c>
      <c r="E191" s="26">
        <v>58.37442874908447</v>
      </c>
      <c r="F191" s="26">
        <v>58.37442874908447</v>
      </c>
      <c r="G191" s="26">
        <v>43.10916066169739</v>
      </c>
      <c r="H191" s="26">
        <v>43.10916066169739</v>
      </c>
      <c r="I191" s="26">
        <v>40.159610937390426</v>
      </c>
      <c r="J191" s="26">
        <v>40.159610937390426</v>
      </c>
      <c r="K191" s="26">
        <v>40.159610937390426</v>
      </c>
      <c r="L191" s="26">
        <v>40.159610937390426</v>
      </c>
    </row>
    <row r="192" ht="14.25" customHeight="1">
      <c r="A192" s="26" t="s">
        <v>379</v>
      </c>
      <c r="B192" s="27" t="s">
        <v>380</v>
      </c>
      <c r="C192" s="26"/>
      <c r="D192" s="26"/>
      <c r="E192" s="26"/>
      <c r="F192" s="26"/>
      <c r="G192" s="26"/>
      <c r="H192" s="26"/>
      <c r="I192" s="26"/>
      <c r="J192" s="26"/>
      <c r="K192" s="26"/>
      <c r="L192" s="26"/>
    </row>
    <row r="193" ht="14.25" customHeight="1">
      <c r="A193" s="26" t="s">
        <v>381</v>
      </c>
      <c r="B193" s="27" t="s">
        <v>382</v>
      </c>
      <c r="C193" s="26"/>
      <c r="D193" s="26"/>
      <c r="E193" s="26"/>
      <c r="F193" s="26"/>
      <c r="G193" s="26"/>
      <c r="H193" s="26"/>
      <c r="I193" s="26"/>
      <c r="J193" s="26"/>
      <c r="K193" s="26"/>
      <c r="L193" s="26"/>
    </row>
    <row r="194" ht="14.25" customHeight="1">
      <c r="A194" s="26" t="s">
        <v>383</v>
      </c>
      <c r="B194" s="27" t="s">
        <v>384</v>
      </c>
      <c r="C194" s="26">
        <v>0.0</v>
      </c>
      <c r="D194" s="26"/>
      <c r="E194" s="26"/>
      <c r="F194" s="26"/>
      <c r="G194" s="26"/>
      <c r="H194" s="26"/>
      <c r="I194" s="26"/>
      <c r="J194" s="26"/>
      <c r="K194" s="26"/>
      <c r="L194" s="26"/>
    </row>
    <row r="195" ht="14.25" customHeight="1">
      <c r="A195" s="26" t="s">
        <v>385</v>
      </c>
      <c r="B195" s="27" t="s">
        <v>386</v>
      </c>
      <c r="C195" s="26">
        <v>0.0</v>
      </c>
      <c r="D195" s="26"/>
      <c r="E195" s="26"/>
      <c r="F195" s="26"/>
      <c r="G195" s="26"/>
      <c r="H195" s="26"/>
      <c r="I195" s="26"/>
      <c r="J195" s="26"/>
      <c r="K195" s="26"/>
      <c r="L195" s="26"/>
    </row>
    <row r="196" ht="14.25" customHeight="1">
      <c r="A196" s="26" t="s">
        <v>387</v>
      </c>
      <c r="B196" s="27" t="s">
        <v>388</v>
      </c>
      <c r="C196" s="26"/>
      <c r="D196" s="26"/>
      <c r="E196" s="26"/>
      <c r="F196" s="26"/>
      <c r="G196" s="26"/>
      <c r="H196" s="26"/>
      <c r="I196" s="26"/>
      <c r="J196" s="26"/>
      <c r="K196" s="26"/>
      <c r="L196" s="26"/>
    </row>
    <row r="197" ht="14.25" customHeight="1">
      <c r="A197" s="26" t="s">
        <v>389</v>
      </c>
      <c r="B197" s="27" t="s">
        <v>390</v>
      </c>
      <c r="C197" s="26">
        <v>70.98515629768372</v>
      </c>
      <c r="D197" s="26">
        <v>70.98515629768372</v>
      </c>
      <c r="E197" s="26">
        <v>70.98515629768372</v>
      </c>
      <c r="F197" s="26">
        <v>70.98515629768372</v>
      </c>
      <c r="G197" s="26"/>
      <c r="H197" s="26"/>
      <c r="I197" s="26"/>
      <c r="J197" s="26"/>
      <c r="K197" s="26"/>
      <c r="L197" s="26"/>
    </row>
    <row r="198" ht="14.25" customHeight="1">
      <c r="A198" s="26" t="s">
        <v>391</v>
      </c>
      <c r="B198" s="27" t="s">
        <v>392</v>
      </c>
      <c r="C198" s="26">
        <v>3.718452</v>
      </c>
      <c r="D198" s="26">
        <v>3.718452</v>
      </c>
      <c r="E198" s="26">
        <v>2.000812813639641</v>
      </c>
      <c r="F198" s="26">
        <v>4.156268439834769</v>
      </c>
      <c r="G198" s="26">
        <v>4.156268439834769</v>
      </c>
      <c r="H198" s="26">
        <v>4.156268439834769</v>
      </c>
      <c r="I198" s="26">
        <v>4.156268439834769</v>
      </c>
      <c r="J198" s="26">
        <v>4.156268439834769</v>
      </c>
      <c r="K198" s="26">
        <v>4.156268439834769</v>
      </c>
      <c r="L198" s="26">
        <v>4.156268439834769</v>
      </c>
    </row>
    <row r="199" ht="14.25" customHeight="1">
      <c r="A199" s="26" t="s">
        <v>393</v>
      </c>
      <c r="B199" s="27" t="s">
        <v>394</v>
      </c>
      <c r="C199" s="26">
        <v>90.76307462528523</v>
      </c>
      <c r="D199" s="26">
        <v>90.76307462528523</v>
      </c>
      <c r="E199" s="26">
        <v>90.76307462528523</v>
      </c>
      <c r="F199" s="26">
        <v>90.76307462528523</v>
      </c>
      <c r="G199" s="26">
        <v>90.76307462528523</v>
      </c>
      <c r="H199" s="26">
        <v>90.76307462528523</v>
      </c>
      <c r="I199" s="26">
        <v>90.76307462528523</v>
      </c>
      <c r="J199" s="26">
        <v>90.76307462528523</v>
      </c>
      <c r="K199" s="26"/>
      <c r="L199" s="26"/>
    </row>
    <row r="200" ht="14.25" customHeight="1">
      <c r="A200" s="26" t="s">
        <v>395</v>
      </c>
      <c r="B200" s="27" t="s">
        <v>396</v>
      </c>
      <c r="C200" s="26"/>
      <c r="D200" s="26"/>
      <c r="E200" s="26"/>
      <c r="F200" s="26"/>
      <c r="G200" s="26"/>
      <c r="H200" s="26"/>
      <c r="I200" s="26"/>
      <c r="J200" s="26"/>
      <c r="K200" s="26"/>
      <c r="L200" s="26"/>
    </row>
    <row r="201" ht="14.25" customHeight="1">
      <c r="A201" s="26" t="s">
        <v>397</v>
      </c>
      <c r="B201" s="27" t="s">
        <v>398</v>
      </c>
      <c r="C201" s="26">
        <v>2.5</v>
      </c>
      <c r="D201" s="26"/>
      <c r="E201" s="26"/>
      <c r="F201" s="26">
        <v>1.46228466925295</v>
      </c>
      <c r="G201" s="26">
        <v>1.46228466925295</v>
      </c>
      <c r="H201" s="26">
        <v>1.46228466925295</v>
      </c>
      <c r="I201" s="26">
        <v>1.46228466925295</v>
      </c>
      <c r="J201" s="26">
        <v>1.46228466925295</v>
      </c>
      <c r="K201" s="26">
        <v>1.46228466925295</v>
      </c>
      <c r="L201" s="26">
        <v>1.46228466925295</v>
      </c>
    </row>
    <row r="202" ht="14.25" customHeight="1">
      <c r="A202" s="26" t="s">
        <v>474</v>
      </c>
      <c r="B202" s="27" t="s">
        <v>400</v>
      </c>
      <c r="C202" s="26">
        <v>0.1171292</v>
      </c>
      <c r="D202" s="26">
        <v>0.02749912382569164</v>
      </c>
      <c r="E202" s="26">
        <v>0.02749912382569164</v>
      </c>
      <c r="F202" s="26">
        <v>0.02749912382569164</v>
      </c>
      <c r="G202" s="26">
        <v>0.02749912382569164</v>
      </c>
      <c r="H202" s="26">
        <v>0.02749912382569164</v>
      </c>
      <c r="I202" s="26">
        <v>0.02749912382569164</v>
      </c>
      <c r="J202" s="26">
        <v>0.05199054083291</v>
      </c>
      <c r="K202" s="26">
        <v>0.05199054083291</v>
      </c>
      <c r="L202" s="26">
        <v>0.05199054083291</v>
      </c>
    </row>
    <row r="203" ht="14.25" customHeight="1">
      <c r="A203" s="26" t="s">
        <v>401</v>
      </c>
      <c r="B203" s="27" t="s">
        <v>402</v>
      </c>
      <c r="C203" s="26">
        <v>57.09933</v>
      </c>
      <c r="D203" s="26">
        <v>51.8593137969985</v>
      </c>
      <c r="E203" s="26">
        <v>51.8593137969985</v>
      </c>
      <c r="F203" s="26">
        <v>51.8593137969985</v>
      </c>
      <c r="G203" s="26">
        <v>51.8593137969985</v>
      </c>
      <c r="H203" s="26">
        <v>51.8593137969985</v>
      </c>
      <c r="I203" s="26">
        <v>51.8593137969985</v>
      </c>
      <c r="J203" s="26">
        <v>51.8593137969985</v>
      </c>
      <c r="K203" s="26">
        <v>51.8593137969985</v>
      </c>
      <c r="L203" s="26">
        <v>51.8593137969985</v>
      </c>
    </row>
    <row r="204" ht="14.25" customHeight="1">
      <c r="A204" s="26" t="s">
        <v>403</v>
      </c>
      <c r="B204" s="27" t="s">
        <v>404</v>
      </c>
      <c r="C204" s="26">
        <v>3.211773559451103</v>
      </c>
      <c r="D204" s="26">
        <v>3.211773559451103</v>
      </c>
      <c r="E204" s="26">
        <v>3.211773559451103</v>
      </c>
      <c r="F204" s="26">
        <v>3.211773559451103</v>
      </c>
      <c r="G204" s="26">
        <v>3.211773559451103</v>
      </c>
      <c r="H204" s="26">
        <v>1.24367171806771</v>
      </c>
      <c r="I204" s="26">
        <v>1.24367171806771</v>
      </c>
      <c r="J204" s="26">
        <v>1.24367171806771</v>
      </c>
      <c r="K204" s="26">
        <v>1.24367171806771</v>
      </c>
      <c r="L204" s="26">
        <v>1.24367171806771</v>
      </c>
    </row>
    <row r="205" ht="14.25" customHeight="1">
      <c r="A205" s="26" t="s">
        <v>405</v>
      </c>
      <c r="B205" s="27" t="s">
        <v>406</v>
      </c>
      <c r="C205" s="26"/>
      <c r="D205" s="26"/>
      <c r="E205" s="26"/>
      <c r="F205" s="26"/>
      <c r="G205" s="26"/>
      <c r="H205" s="26"/>
      <c r="I205" s="26"/>
      <c r="J205" s="26"/>
      <c r="K205" s="26"/>
      <c r="L205" s="26"/>
    </row>
    <row r="206" ht="14.25" customHeight="1">
      <c r="A206" s="26" t="s">
        <v>407</v>
      </c>
      <c r="B206" s="27" t="s">
        <v>408</v>
      </c>
      <c r="C206" s="26"/>
      <c r="D206" s="26"/>
      <c r="E206" s="26"/>
      <c r="F206" s="26"/>
      <c r="G206" s="26"/>
      <c r="H206" s="26"/>
      <c r="I206" s="26"/>
      <c r="J206" s="26"/>
      <c r="K206" s="26"/>
      <c r="L206" s="26"/>
    </row>
    <row r="207" ht="14.25" customHeight="1">
      <c r="A207" s="26" t="s">
        <v>409</v>
      </c>
      <c r="B207" s="27" t="s">
        <v>410</v>
      </c>
      <c r="C207" s="26">
        <v>1.55635934856104</v>
      </c>
      <c r="D207" s="26">
        <v>1.55635934856104</v>
      </c>
      <c r="E207" s="26">
        <v>1.55635934856104</v>
      </c>
      <c r="F207" s="26">
        <v>1.55635934856104</v>
      </c>
      <c r="G207" s="26">
        <v>1.55635934856104</v>
      </c>
      <c r="H207" s="26">
        <v>1.55635934856104</v>
      </c>
      <c r="I207" s="26">
        <v>1.55635934856104</v>
      </c>
      <c r="J207" s="26"/>
      <c r="K207" s="26"/>
      <c r="L207" s="26"/>
    </row>
    <row r="208" ht="14.25" customHeight="1">
      <c r="A208" s="26" t="s">
        <v>411</v>
      </c>
      <c r="B208" s="27" t="s">
        <v>412</v>
      </c>
      <c r="C208" s="26">
        <v>10.216131806373596</v>
      </c>
      <c r="D208" s="26">
        <v>10.216131806373596</v>
      </c>
      <c r="E208" s="26">
        <v>10.216131806373596</v>
      </c>
      <c r="F208" s="26">
        <v>10.216131806373596</v>
      </c>
      <c r="G208" s="26">
        <v>5.67857319444786</v>
      </c>
      <c r="H208" s="26">
        <v>5.67857319444786</v>
      </c>
      <c r="I208" s="26">
        <v>5.67857319444786</v>
      </c>
      <c r="J208" s="26">
        <v>5.67857319444786</v>
      </c>
      <c r="K208" s="26">
        <v>5.67857319444786</v>
      </c>
      <c r="L208" s="26">
        <v>5.67857319444786</v>
      </c>
    </row>
    <row r="209" ht="14.25" customHeight="1">
      <c r="A209" s="26" t="s">
        <v>413</v>
      </c>
      <c r="B209" s="27" t="s">
        <v>414</v>
      </c>
      <c r="C209" s="26">
        <v>0.03193935379385948</v>
      </c>
      <c r="D209" s="26">
        <v>0.03193935379385948</v>
      </c>
      <c r="E209" s="26">
        <v>0.03193935379385948</v>
      </c>
      <c r="F209" s="26">
        <v>0.1937763881869614</v>
      </c>
      <c r="G209" s="26">
        <v>0.1937763881869614</v>
      </c>
      <c r="H209" s="26">
        <v>0.1937763881869614</v>
      </c>
      <c r="I209" s="26">
        <v>0.10284211879760001</v>
      </c>
      <c r="J209" s="26">
        <v>0.10284211879760001</v>
      </c>
      <c r="K209" s="26">
        <v>0.10284211879760001</v>
      </c>
      <c r="L209" s="26">
        <v>0.10284211879760001</v>
      </c>
    </row>
    <row r="210" ht="14.25" customHeight="1">
      <c r="A210" s="26" t="s">
        <v>415</v>
      </c>
      <c r="B210" s="27" t="s">
        <v>416</v>
      </c>
      <c r="C210" s="26">
        <v>51.2</v>
      </c>
      <c r="D210" s="26">
        <v>51.2</v>
      </c>
      <c r="E210" s="26">
        <v>51.2</v>
      </c>
      <c r="F210" s="26">
        <v>41.86054495181857</v>
      </c>
      <c r="G210" s="26">
        <v>41.86054495181857</v>
      </c>
      <c r="H210" s="26">
        <v>41.86054495181857</v>
      </c>
      <c r="I210" s="26">
        <v>41.86054495181857</v>
      </c>
      <c r="J210" s="26">
        <v>41.86054495181857</v>
      </c>
      <c r="K210" s="26">
        <v>41.86054495181857</v>
      </c>
      <c r="L210" s="26">
        <v>41.86054495181857</v>
      </c>
    </row>
    <row r="211" ht="14.25" customHeight="1">
      <c r="A211" s="26" t="s">
        <v>417</v>
      </c>
      <c r="B211" s="27" t="s">
        <v>418</v>
      </c>
      <c r="C211" s="26">
        <v>14.78361</v>
      </c>
      <c r="D211" s="26">
        <v>33.79404544830322</v>
      </c>
      <c r="E211" s="26">
        <v>33.79404544830322</v>
      </c>
      <c r="F211" s="26">
        <v>33.79404544830322</v>
      </c>
      <c r="G211" s="26">
        <v>24.80149415738552</v>
      </c>
      <c r="H211" s="26">
        <v>24.80149415738552</v>
      </c>
      <c r="I211" s="26">
        <v>24.80149415738552</v>
      </c>
      <c r="J211" s="26">
        <v>24.80149415738552</v>
      </c>
      <c r="K211" s="26">
        <v>24.80149415738552</v>
      </c>
      <c r="L211" s="26">
        <v>24.80149415738552</v>
      </c>
    </row>
    <row r="212" ht="14.25" customHeight="1">
      <c r="A212" s="26" t="s">
        <v>419</v>
      </c>
      <c r="B212" s="27" t="s">
        <v>420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</row>
    <row r="213" ht="14.25" customHeight="1">
      <c r="A213" s="26" t="s">
        <v>421</v>
      </c>
      <c r="B213" s="27" t="s">
        <v>422</v>
      </c>
      <c r="C213" s="26"/>
      <c r="D213" s="26"/>
      <c r="E213" s="26"/>
      <c r="F213" s="26"/>
      <c r="G213" s="26"/>
      <c r="H213" s="26"/>
      <c r="I213" s="26">
        <v>0.70497796587968</v>
      </c>
      <c r="J213" s="26">
        <v>0.70497796587968</v>
      </c>
      <c r="K213" s="26">
        <v>0.70497796587968</v>
      </c>
      <c r="L213" s="26">
        <v>0.70497796587968</v>
      </c>
    </row>
    <row r="214" ht="14.25" customHeight="1">
      <c r="A214" s="26" t="s">
        <v>423</v>
      </c>
      <c r="B214" s="27" t="s">
        <v>424</v>
      </c>
      <c r="C214" s="26">
        <v>0.31612141393196</v>
      </c>
      <c r="D214" s="26">
        <v>0.31612141393196</v>
      </c>
      <c r="E214" s="26">
        <v>0.31612141393196</v>
      </c>
      <c r="F214" s="26">
        <v>0.31612141393196</v>
      </c>
      <c r="G214" s="26">
        <v>0.31612141393196</v>
      </c>
      <c r="H214" s="26">
        <v>0.31612141393196</v>
      </c>
      <c r="I214" s="26">
        <v>0.31612141393196</v>
      </c>
      <c r="J214" s="26">
        <v>0.31612141393196</v>
      </c>
      <c r="K214" s="26">
        <v>0.31612141393196</v>
      </c>
      <c r="L214" s="26"/>
    </row>
    <row r="215" ht="14.25" customHeight="1">
      <c r="A215" s="26" t="s">
        <v>425</v>
      </c>
      <c r="B215" s="27" t="s">
        <v>426</v>
      </c>
      <c r="C215" s="26">
        <v>0.11510665062814951</v>
      </c>
      <c r="D215" s="26">
        <v>0.11510665062814951</v>
      </c>
      <c r="E215" s="26">
        <v>0.11510665062814951</v>
      </c>
      <c r="F215" s="26">
        <v>0.11510665062814951</v>
      </c>
      <c r="G215" s="26">
        <v>0.11510665062814951</v>
      </c>
      <c r="H215" s="26">
        <v>0.07460855067669</v>
      </c>
      <c r="I215" s="26">
        <v>0.07460855067669</v>
      </c>
      <c r="J215" s="26">
        <v>0.07460855067669</v>
      </c>
      <c r="K215" s="26">
        <v>0.07460855067669</v>
      </c>
      <c r="L215" s="26">
        <v>0.07460855067669</v>
      </c>
    </row>
    <row r="216" ht="14.25" customHeight="1">
      <c r="A216" s="26" t="s">
        <v>427</v>
      </c>
      <c r="B216" s="27" t="s">
        <v>428</v>
      </c>
      <c r="C216" s="26">
        <v>1.4</v>
      </c>
      <c r="D216" s="26"/>
      <c r="E216" s="26"/>
      <c r="F216" s="26"/>
      <c r="G216" s="26"/>
      <c r="H216" s="26"/>
      <c r="I216" s="26"/>
      <c r="J216" s="26"/>
      <c r="K216" s="26"/>
      <c r="L216" s="26"/>
    </row>
    <row r="217" ht="14.25" customHeight="1">
      <c r="A217" s="26" t="s">
        <v>429</v>
      </c>
      <c r="B217" s="27" t="s">
        <v>430</v>
      </c>
      <c r="C217" s="26">
        <v>1.0514413118362427</v>
      </c>
      <c r="D217" s="26">
        <v>1.0514413118362427</v>
      </c>
      <c r="E217" s="26">
        <v>1.0514413118362427</v>
      </c>
      <c r="F217" s="26">
        <v>0.035621586721390486</v>
      </c>
      <c r="G217" s="26">
        <v>0.035621586721390486</v>
      </c>
      <c r="H217" s="26">
        <v>0.035621586721390486</v>
      </c>
      <c r="I217" s="26">
        <v>0.02673029320483</v>
      </c>
      <c r="J217" s="26">
        <v>0.02673029320483</v>
      </c>
      <c r="K217" s="26">
        <v>0.02673029320483</v>
      </c>
      <c r="L217" s="26">
        <v>0.02673029320483</v>
      </c>
    </row>
    <row r="218" ht="14.25" customHeight="1">
      <c r="A218" s="26" t="s">
        <v>431</v>
      </c>
      <c r="B218" s="27" t="s">
        <v>432</v>
      </c>
      <c r="C218" s="26"/>
      <c r="D218" s="26"/>
      <c r="E218" s="26"/>
      <c r="F218" s="26"/>
      <c r="G218" s="26"/>
      <c r="H218" s="26"/>
      <c r="I218" s="26"/>
      <c r="J218" s="26"/>
      <c r="K218" s="26"/>
      <c r="L218" s="26"/>
    </row>
    <row r="219" ht="14.25" customHeight="1">
      <c r="A219" s="26" t="s">
        <v>433</v>
      </c>
      <c r="B219" s="27" t="s">
        <v>434</v>
      </c>
      <c r="C219" s="26"/>
      <c r="D219" s="26"/>
      <c r="E219" s="26"/>
      <c r="F219" s="26"/>
      <c r="G219" s="26"/>
      <c r="H219" s="26"/>
      <c r="I219" s="26"/>
      <c r="J219" s="26">
        <v>0.31612141393196</v>
      </c>
      <c r="K219" s="26">
        <v>0.31612141393196</v>
      </c>
      <c r="L219" s="26">
        <v>0.31612141393196</v>
      </c>
    </row>
    <row r="220" ht="14.25" customHeight="1">
      <c r="A220" s="26" t="s">
        <v>435</v>
      </c>
      <c r="B220" s="27" t="s">
        <v>436</v>
      </c>
      <c r="C220" s="26">
        <v>60.6</v>
      </c>
      <c r="D220" s="26">
        <v>60.6</v>
      </c>
      <c r="E220" s="26">
        <v>60.6</v>
      </c>
      <c r="F220" s="26">
        <v>49.70134983741004</v>
      </c>
      <c r="G220" s="26">
        <v>49.70134983741004</v>
      </c>
      <c r="H220" s="26">
        <v>49.70134983741004</v>
      </c>
      <c r="I220" s="26">
        <v>49.70134983741004</v>
      </c>
      <c r="J220" s="26">
        <v>49.70134983741004</v>
      </c>
      <c r="K220" s="26">
        <v>49.70134983741004</v>
      </c>
      <c r="L220" s="26">
        <v>49.70134983741004</v>
      </c>
    </row>
    <row r="221" ht="14.25" customHeight="1">
      <c r="A221" s="26" t="s">
        <v>437</v>
      </c>
      <c r="B221" s="27" t="s">
        <v>438</v>
      </c>
      <c r="C221" s="26">
        <v>0.01462739272189</v>
      </c>
      <c r="D221" s="26">
        <v>0.01462739272189</v>
      </c>
      <c r="E221" s="26">
        <v>0.01462739272189</v>
      </c>
      <c r="F221" s="26">
        <v>0.01462739272189</v>
      </c>
      <c r="G221" s="26">
        <v>0.01462739272189</v>
      </c>
      <c r="H221" s="26">
        <v>0.01462739272189</v>
      </c>
      <c r="I221" s="26">
        <v>0.01462739272189</v>
      </c>
      <c r="J221" s="26">
        <v>0.01462739272189</v>
      </c>
      <c r="K221" s="26">
        <v>0.01462739272189</v>
      </c>
      <c r="L221" s="26">
        <v>0.01462739272189</v>
      </c>
    </row>
    <row r="222" ht="14.25" customHeight="1">
      <c r="A222" s="26" t="s">
        <v>439</v>
      </c>
      <c r="B222" s="27" t="s">
        <v>440</v>
      </c>
      <c r="C222" s="26">
        <v>0.0</v>
      </c>
      <c r="D222" s="26"/>
      <c r="E222" s="26"/>
      <c r="F222" s="26"/>
      <c r="G222" s="26"/>
      <c r="H222" s="26"/>
      <c r="I222" s="26"/>
      <c r="J222" s="26"/>
      <c r="K222" s="26"/>
      <c r="L222" s="26"/>
    </row>
    <row r="223" ht="14.25" customHeight="1">
      <c r="A223" s="26" t="s">
        <v>475</v>
      </c>
      <c r="B223" s="27" t="s">
        <v>442</v>
      </c>
      <c r="C223" s="26"/>
      <c r="D223" s="26"/>
      <c r="E223" s="26"/>
      <c r="F223" s="26"/>
      <c r="G223" s="26"/>
      <c r="H223" s="26"/>
      <c r="I223" s="26"/>
      <c r="J223" s="26"/>
      <c r="K223" s="26"/>
      <c r="L223" s="26"/>
    </row>
    <row r="224" ht="14.25" customHeight="1">
      <c r="A224" s="30" t="s">
        <v>443</v>
      </c>
      <c r="B224" s="29" t="s">
        <v>444</v>
      </c>
      <c r="C224" s="26">
        <v>55.8</v>
      </c>
      <c r="D224" s="26">
        <v>55.8</v>
      </c>
      <c r="E224" s="26">
        <v>55.8</v>
      </c>
      <c r="F224" s="26">
        <v>47.37496805711575</v>
      </c>
      <c r="G224" s="26">
        <v>47.37496805711575</v>
      </c>
      <c r="H224" s="26">
        <v>47.37496805711575</v>
      </c>
      <c r="I224" s="26">
        <v>47.37496805711575</v>
      </c>
      <c r="J224" s="26">
        <v>47.37496805711575</v>
      </c>
      <c r="K224" s="26">
        <v>47.37496805711575</v>
      </c>
      <c r="L224" s="26">
        <v>47.37496805711575</v>
      </c>
    </row>
    <row r="225" ht="14.25" customHeight="1">
      <c r="A225" s="26" t="s">
        <v>445</v>
      </c>
      <c r="B225" s="27" t="s">
        <v>446</v>
      </c>
      <c r="C225" s="26"/>
      <c r="D225" s="26"/>
      <c r="E225" s="26"/>
      <c r="F225" s="26"/>
      <c r="G225" s="26"/>
      <c r="H225" s="26"/>
      <c r="I225" s="26"/>
      <c r="J225" s="26"/>
      <c r="K225" s="26"/>
      <c r="L225" s="26"/>
    </row>
    <row r="226" ht="14.25" customHeight="1">
      <c r="A226" s="26" t="s">
        <v>447</v>
      </c>
      <c r="B226" s="27" t="s">
        <v>448</v>
      </c>
      <c r="C226" s="26"/>
      <c r="D226" s="26"/>
      <c r="E226" s="26"/>
      <c r="F226" s="26"/>
      <c r="G226" s="26"/>
      <c r="H226" s="26"/>
      <c r="I226" s="26"/>
      <c r="J226" s="26"/>
      <c r="K226" s="26"/>
      <c r="L226" s="26"/>
    </row>
    <row r="227" ht="14.25" customHeight="1">
      <c r="A227" s="26" t="s">
        <v>449</v>
      </c>
      <c r="B227" s="27" t="s">
        <v>450</v>
      </c>
      <c r="C227" s="26">
        <v>0.0</v>
      </c>
      <c r="D227" s="26"/>
      <c r="E227" s="26"/>
      <c r="F227" s="26"/>
      <c r="G227" s="26"/>
      <c r="H227" s="26"/>
      <c r="I227" s="26"/>
      <c r="J227" s="26"/>
      <c r="K227" s="26"/>
      <c r="L227" s="26"/>
    </row>
    <row r="228" ht="14.25" customHeight="1">
      <c r="A228" s="26" t="s">
        <v>451</v>
      </c>
      <c r="B228" s="27" t="s">
        <v>452</v>
      </c>
      <c r="C228" s="26">
        <v>1.1543761007487774</v>
      </c>
      <c r="D228" s="26">
        <v>1.1543761007487774</v>
      </c>
      <c r="E228" s="26">
        <v>1.1543761007487774</v>
      </c>
      <c r="F228" s="26">
        <v>1.1543761007487774</v>
      </c>
      <c r="G228" s="26"/>
      <c r="H228" s="26"/>
      <c r="I228" s="26"/>
      <c r="J228" s="26"/>
      <c r="K228" s="26"/>
      <c r="L228" s="26">
        <v>0.26839139673653</v>
      </c>
    </row>
    <row r="229" ht="14.25" customHeight="1">
      <c r="A229" s="26" t="s">
        <v>453</v>
      </c>
      <c r="B229" s="27" t="s">
        <v>454</v>
      </c>
      <c r="C229" s="26">
        <v>30.20954430103302</v>
      </c>
      <c r="D229" s="26">
        <v>30.20954430103302</v>
      </c>
      <c r="E229" s="26">
        <v>30.20954430103302</v>
      </c>
      <c r="F229" s="26">
        <v>30.20954430103302</v>
      </c>
      <c r="G229" s="26">
        <v>30.20954430103302</v>
      </c>
      <c r="H229" s="26"/>
      <c r="I229" s="26"/>
      <c r="J229" s="26"/>
      <c r="K229" s="26"/>
      <c r="L229" s="26"/>
    </row>
    <row r="230" ht="14.25" customHeight="1">
      <c r="A230" s="26" t="s">
        <v>455</v>
      </c>
      <c r="B230" s="27" t="s">
        <v>456</v>
      </c>
      <c r="C230" s="26"/>
      <c r="D230" s="26"/>
      <c r="E230" s="26"/>
      <c r="F230" s="26"/>
      <c r="G230" s="26"/>
      <c r="H230" s="26"/>
      <c r="I230" s="26"/>
      <c r="J230" s="26"/>
      <c r="K230" s="26"/>
      <c r="L230" s="26"/>
    </row>
    <row r="231" ht="14.25" customHeight="1">
      <c r="A231" s="30" t="s">
        <v>457</v>
      </c>
      <c r="B231" s="29" t="s">
        <v>458</v>
      </c>
      <c r="C231" s="26">
        <v>1.7</v>
      </c>
      <c r="D231" s="26">
        <v>3.08043700062259</v>
      </c>
      <c r="E231" s="26">
        <v>3.08043700062259</v>
      </c>
      <c r="F231" s="26">
        <v>3.08043700062259</v>
      </c>
      <c r="G231" s="26">
        <v>3.08043700062259</v>
      </c>
      <c r="H231" s="26">
        <v>3.08043700062259</v>
      </c>
      <c r="I231" s="26">
        <v>3.08043700062259</v>
      </c>
      <c r="J231" s="26">
        <v>3.08043700062259</v>
      </c>
      <c r="K231" s="26">
        <v>49.70134983741004</v>
      </c>
      <c r="L231" s="26">
        <v>49.70134983741004</v>
      </c>
    </row>
    <row r="232" ht="14.25" customHeight="1">
      <c r="A232" s="26" t="s">
        <v>459</v>
      </c>
      <c r="B232" s="27" t="s">
        <v>460</v>
      </c>
      <c r="C232" s="26"/>
      <c r="D232" s="26"/>
      <c r="E232" s="26"/>
      <c r="F232" s="26"/>
      <c r="G232" s="26"/>
      <c r="H232" s="26"/>
      <c r="I232" s="26"/>
      <c r="J232" s="26"/>
      <c r="K232" s="26"/>
      <c r="L232" s="26"/>
    </row>
    <row r="233" ht="14.25" customHeight="1">
      <c r="A233" s="26" t="s">
        <v>461</v>
      </c>
      <c r="B233" s="27" t="s">
        <v>462</v>
      </c>
      <c r="C233" s="26"/>
      <c r="D233" s="26"/>
      <c r="E233" s="26"/>
      <c r="F233" s="26"/>
      <c r="G233" s="26"/>
      <c r="H233" s="26"/>
      <c r="I233" s="26"/>
      <c r="J233" s="26"/>
      <c r="K233" s="26"/>
      <c r="L233" s="26"/>
    </row>
    <row r="234" ht="14.25" customHeight="1">
      <c r="A234" s="26" t="s">
        <v>463</v>
      </c>
      <c r="B234" s="27" t="s">
        <v>464</v>
      </c>
      <c r="C234" s="26">
        <v>45.79826148632399</v>
      </c>
      <c r="D234" s="26">
        <v>45.79826148632399</v>
      </c>
      <c r="E234" s="26">
        <v>45.79826148632399</v>
      </c>
      <c r="F234" s="26">
        <v>45.79826148632399</v>
      </c>
      <c r="G234" s="26">
        <v>45.79826148632399</v>
      </c>
      <c r="H234" s="26">
        <v>45.79826148632399</v>
      </c>
      <c r="I234" s="26">
        <v>45.79826148632399</v>
      </c>
      <c r="J234" s="26">
        <v>45.79826148632399</v>
      </c>
      <c r="K234" s="26">
        <v>45.79826148632399</v>
      </c>
      <c r="L234" s="26">
        <v>45.79826148632399</v>
      </c>
    </row>
    <row r="235" ht="14.25" customHeight="1">
      <c r="A235" s="11" t="s">
        <v>465</v>
      </c>
      <c r="B235" s="9" t="s">
        <v>466</v>
      </c>
      <c r="C235" s="26">
        <v>51.5</v>
      </c>
      <c r="D235" s="26">
        <v>44.073331356048584</v>
      </c>
      <c r="E235" s="26">
        <v>44.073331356048584</v>
      </c>
      <c r="F235" s="26">
        <v>44.073331356048584</v>
      </c>
      <c r="G235" s="26">
        <v>44.073331356048584</v>
      </c>
      <c r="H235" s="26">
        <v>40.23575450049146</v>
      </c>
      <c r="I235" s="26">
        <v>40.23575450049146</v>
      </c>
      <c r="J235" s="26">
        <v>40.23575450049146</v>
      </c>
      <c r="K235" s="26">
        <v>40.23575450049146</v>
      </c>
      <c r="L235" s="26">
        <v>40.23575450049146</v>
      </c>
    </row>
    <row r="236" ht="14.25" customHeight="1">
      <c r="A236" s="11" t="s">
        <v>467</v>
      </c>
      <c r="B236" s="9" t="s">
        <v>468</v>
      </c>
      <c r="C236" s="26">
        <v>21.6</v>
      </c>
      <c r="D236" s="26">
        <v>19.73757</v>
      </c>
      <c r="E236" s="26">
        <v>21.48950546979904</v>
      </c>
      <c r="F236" s="26">
        <v>21.48950546979904</v>
      </c>
      <c r="G236" s="26">
        <v>21.48950546979904</v>
      </c>
      <c r="H236" s="26">
        <v>21.48950546979904</v>
      </c>
      <c r="I236" s="26">
        <v>16.35132603514205</v>
      </c>
      <c r="J236" s="26">
        <v>16.35132603514205</v>
      </c>
      <c r="K236" s="26">
        <v>16.35132603514205</v>
      </c>
      <c r="L236" s="26">
        <v>16.35132603514205</v>
      </c>
    </row>
    <row r="237" ht="14.25" customHeight="1">
      <c r="B237" s="9"/>
    </row>
    <row r="238" ht="14.25" customHeight="1">
      <c r="A238" s="26" t="s">
        <v>477</v>
      </c>
      <c r="B238" s="9"/>
      <c r="C238" s="11">
        <v>114.0</v>
      </c>
      <c r="D238" s="11">
        <v>103.0</v>
      </c>
      <c r="E238" s="11">
        <v>104.0</v>
      </c>
      <c r="F238" s="11">
        <v>106.0</v>
      </c>
      <c r="G238" s="11">
        <v>103.0</v>
      </c>
      <c r="H238" s="11">
        <v>105.0</v>
      </c>
      <c r="I238" s="11">
        <v>108.0</v>
      </c>
      <c r="J238" s="11">
        <v>110.0</v>
      </c>
      <c r="K238" s="11">
        <v>108.0</v>
      </c>
      <c r="L238" s="11">
        <v>108.0</v>
      </c>
    </row>
    <row r="239" ht="14.25" customHeight="1">
      <c r="A239" s="26"/>
      <c r="B239" s="9"/>
    </row>
    <row r="240" ht="14.25" customHeight="1">
      <c r="A240" s="26"/>
      <c r="B240" s="9"/>
    </row>
    <row r="241" ht="14.25" customHeight="1">
      <c r="A241" s="26"/>
      <c r="B241" s="9"/>
    </row>
    <row r="242" ht="14.25" customHeight="1">
      <c r="A242" s="26"/>
      <c r="B242" s="9"/>
    </row>
    <row r="243" ht="14.25" customHeight="1">
      <c r="B243" s="9"/>
    </row>
    <row r="244" ht="14.25" customHeight="1">
      <c r="B244" s="9"/>
    </row>
    <row r="245" ht="14.25" customHeight="1">
      <c r="B245" s="9"/>
    </row>
    <row r="246" ht="14.25" customHeight="1">
      <c r="B246" s="9"/>
    </row>
    <row r="247" ht="14.25" customHeight="1">
      <c r="B247" s="9"/>
    </row>
    <row r="248" ht="14.25" customHeight="1">
      <c r="B248" s="9"/>
    </row>
    <row r="249" ht="14.25" customHeight="1">
      <c r="B249" s="9"/>
    </row>
    <row r="250" ht="14.25" customHeight="1">
      <c r="B250" s="9"/>
    </row>
    <row r="251" ht="14.25" customHeight="1">
      <c r="B251" s="9"/>
    </row>
    <row r="252" ht="14.25" customHeight="1">
      <c r="B252" s="9"/>
    </row>
    <row r="253" ht="14.25" customHeight="1">
      <c r="B253" s="9"/>
    </row>
    <row r="254" ht="14.25" customHeight="1">
      <c r="B254" s="9"/>
    </row>
    <row r="255" ht="14.25" customHeight="1">
      <c r="B255" s="9"/>
    </row>
    <row r="256" ht="14.25" customHeight="1">
      <c r="B256" s="9"/>
    </row>
    <row r="257" ht="14.25" customHeight="1">
      <c r="B257" s="9"/>
    </row>
    <row r="258" ht="14.25" customHeight="1">
      <c r="B258" s="9"/>
    </row>
    <row r="259" ht="14.25" customHeight="1">
      <c r="B259" s="9"/>
    </row>
    <row r="260" ht="14.25" customHeight="1">
      <c r="B260" s="9"/>
    </row>
    <row r="261" ht="14.25" customHeight="1">
      <c r="B261" s="9"/>
    </row>
    <row r="262" ht="14.25" customHeight="1">
      <c r="B262" s="9"/>
    </row>
    <row r="263" ht="14.25" customHeight="1">
      <c r="B263" s="9"/>
    </row>
    <row r="264" ht="14.25" customHeight="1">
      <c r="B264" s="9"/>
    </row>
    <row r="265" ht="14.25" customHeight="1">
      <c r="B265" s="9"/>
    </row>
    <row r="266" ht="14.25" customHeight="1">
      <c r="B266" s="9"/>
    </row>
    <row r="267" ht="14.25" customHeight="1">
      <c r="B267" s="9"/>
    </row>
    <row r="268" ht="14.25" customHeight="1">
      <c r="B268" s="9"/>
    </row>
    <row r="269" ht="14.25" customHeight="1">
      <c r="B269" s="9"/>
    </row>
    <row r="270" ht="14.25" customHeight="1">
      <c r="B270" s="9"/>
    </row>
    <row r="271" ht="14.25" customHeight="1">
      <c r="B271" s="9"/>
    </row>
    <row r="272" ht="14.25" customHeight="1">
      <c r="B272" s="9"/>
    </row>
    <row r="273" ht="14.25" customHeight="1">
      <c r="B273" s="9"/>
    </row>
    <row r="274" ht="14.25" customHeight="1">
      <c r="B274" s="9"/>
    </row>
    <row r="275" ht="14.25" customHeight="1">
      <c r="B275" s="9"/>
    </row>
    <row r="276" ht="14.25" customHeight="1">
      <c r="B276" s="9"/>
    </row>
    <row r="277" ht="14.25" customHeight="1">
      <c r="B277" s="9"/>
    </row>
    <row r="278" ht="14.25" customHeight="1">
      <c r="B278" s="9"/>
    </row>
    <row r="279" ht="14.25" customHeight="1">
      <c r="B279" s="9"/>
    </row>
    <row r="280" ht="14.25" customHeight="1">
      <c r="B280" s="9"/>
    </row>
    <row r="281" ht="14.25" customHeight="1">
      <c r="B281" s="9"/>
    </row>
    <row r="282" ht="14.25" customHeight="1">
      <c r="B282" s="9"/>
    </row>
    <row r="283" ht="14.25" customHeight="1">
      <c r="B283" s="9"/>
    </row>
    <row r="284" ht="14.25" customHeight="1">
      <c r="B284" s="9"/>
    </row>
    <row r="285" ht="14.25" customHeight="1">
      <c r="B285" s="9"/>
    </row>
    <row r="286" ht="14.25" customHeight="1">
      <c r="B286" s="9"/>
    </row>
    <row r="287" ht="14.25" customHeight="1">
      <c r="B287" s="9"/>
    </row>
    <row r="288" ht="14.25" customHeight="1">
      <c r="B288" s="9"/>
    </row>
    <row r="289" ht="14.25" customHeight="1">
      <c r="B289" s="9"/>
    </row>
    <row r="290" ht="14.25" customHeight="1">
      <c r="B290" s="9"/>
    </row>
    <row r="291" ht="14.25" customHeight="1">
      <c r="B291" s="9"/>
    </row>
    <row r="292" ht="14.25" customHeight="1">
      <c r="B292" s="9"/>
    </row>
    <row r="293" ht="14.25" customHeight="1">
      <c r="B293" s="9"/>
    </row>
    <row r="294" ht="14.25" customHeight="1">
      <c r="B294" s="9"/>
    </row>
    <row r="295" ht="14.25" customHeight="1">
      <c r="B295" s="9"/>
    </row>
    <row r="296" ht="14.25" customHeight="1">
      <c r="B296" s="9"/>
    </row>
    <row r="297" ht="14.25" customHeight="1">
      <c r="B297" s="9"/>
    </row>
    <row r="298" ht="14.25" customHeight="1">
      <c r="B298" s="9"/>
    </row>
    <row r="299" ht="14.25" customHeight="1">
      <c r="B299" s="9"/>
    </row>
    <row r="300" ht="14.25" customHeight="1">
      <c r="B300" s="9"/>
    </row>
    <row r="301" ht="14.25" customHeight="1">
      <c r="B301" s="9"/>
    </row>
    <row r="302" ht="14.25" customHeight="1">
      <c r="B302" s="9"/>
    </row>
    <row r="303" ht="14.25" customHeight="1">
      <c r="B303" s="9"/>
    </row>
    <row r="304" ht="14.25" customHeight="1">
      <c r="B304" s="9"/>
    </row>
    <row r="305" ht="14.25" customHeight="1">
      <c r="B305" s="9"/>
    </row>
    <row r="306" ht="14.25" customHeight="1">
      <c r="B306" s="9"/>
    </row>
    <row r="307" ht="14.25" customHeight="1">
      <c r="B307" s="9"/>
    </row>
    <row r="308" ht="14.25" customHeight="1">
      <c r="B308" s="9"/>
    </row>
    <row r="309" ht="14.25" customHeight="1">
      <c r="B309" s="9"/>
    </row>
    <row r="310" ht="14.25" customHeight="1">
      <c r="B310" s="9"/>
    </row>
    <row r="311" ht="14.25" customHeight="1">
      <c r="B311" s="9"/>
    </row>
    <row r="312" ht="14.25" customHeight="1">
      <c r="B312" s="9"/>
    </row>
    <row r="313" ht="14.25" customHeight="1">
      <c r="B313" s="9"/>
    </row>
    <row r="314" ht="14.25" customHeight="1">
      <c r="B314" s="9"/>
    </row>
    <row r="315" ht="14.25" customHeight="1">
      <c r="B315" s="9"/>
    </row>
    <row r="316" ht="14.25" customHeight="1">
      <c r="B316" s="9"/>
    </row>
    <row r="317" ht="14.25" customHeight="1">
      <c r="B317" s="9"/>
    </row>
    <row r="318" ht="14.25" customHeight="1">
      <c r="B318" s="9"/>
    </row>
    <row r="319" ht="14.25" customHeight="1">
      <c r="B319" s="9"/>
    </row>
    <row r="320" ht="14.25" customHeight="1">
      <c r="B320" s="9"/>
    </row>
    <row r="321" ht="14.25" customHeight="1">
      <c r="B321" s="9"/>
    </row>
    <row r="322" ht="14.25" customHeight="1">
      <c r="B322" s="9"/>
    </row>
    <row r="323" ht="14.25" customHeight="1">
      <c r="B323" s="9"/>
    </row>
    <row r="324" ht="14.25" customHeight="1">
      <c r="B324" s="9"/>
    </row>
    <row r="325" ht="14.25" customHeight="1">
      <c r="B325" s="9"/>
    </row>
    <row r="326" ht="14.25" customHeight="1">
      <c r="B326" s="9"/>
    </row>
    <row r="327" ht="14.25" customHeight="1">
      <c r="B327" s="9"/>
    </row>
    <row r="328" ht="14.25" customHeight="1">
      <c r="B328" s="9"/>
    </row>
    <row r="329" ht="14.25" customHeight="1">
      <c r="B329" s="9"/>
    </row>
    <row r="330" ht="14.25" customHeight="1">
      <c r="B330" s="9"/>
    </row>
    <row r="331" ht="14.25" customHeight="1">
      <c r="B331" s="9"/>
    </row>
    <row r="332" ht="14.25" customHeight="1">
      <c r="B332" s="9"/>
    </row>
    <row r="333" ht="14.25" customHeight="1">
      <c r="B333" s="9"/>
    </row>
    <row r="334" ht="14.25" customHeight="1">
      <c r="B334" s="9"/>
    </row>
    <row r="335" ht="14.25" customHeight="1">
      <c r="B335" s="9"/>
    </row>
    <row r="336" ht="14.25" customHeight="1">
      <c r="B336" s="9"/>
    </row>
    <row r="337" ht="14.25" customHeight="1">
      <c r="B337" s="9"/>
    </row>
    <row r="338" ht="14.25" customHeight="1">
      <c r="B338" s="9"/>
    </row>
    <row r="339" ht="14.25" customHeight="1">
      <c r="B339" s="9"/>
    </row>
    <row r="340" ht="14.25" customHeight="1">
      <c r="B340" s="9"/>
    </row>
    <row r="341" ht="14.25" customHeight="1">
      <c r="B341" s="9"/>
    </row>
    <row r="342" ht="14.25" customHeight="1">
      <c r="B342" s="9"/>
    </row>
    <row r="343" ht="14.25" customHeight="1">
      <c r="B343" s="9"/>
    </row>
    <row r="344" ht="14.25" customHeight="1">
      <c r="B344" s="9"/>
    </row>
    <row r="345" ht="14.25" customHeight="1">
      <c r="B345" s="9"/>
    </row>
    <row r="346" ht="14.25" customHeight="1">
      <c r="B346" s="9"/>
    </row>
    <row r="347" ht="14.25" customHeight="1">
      <c r="B347" s="9"/>
    </row>
    <row r="348" ht="14.25" customHeight="1">
      <c r="B348" s="9"/>
    </row>
    <row r="349" ht="14.25" customHeight="1">
      <c r="B349" s="9"/>
    </row>
    <row r="350" ht="14.25" customHeight="1">
      <c r="B350" s="9"/>
    </row>
    <row r="351" ht="14.25" customHeight="1">
      <c r="B351" s="9"/>
    </row>
    <row r="352" ht="14.25" customHeight="1">
      <c r="B352" s="9"/>
    </row>
    <row r="353" ht="14.25" customHeight="1">
      <c r="B353" s="9"/>
    </row>
    <row r="354" ht="14.25" customHeight="1">
      <c r="B354" s="9"/>
    </row>
    <row r="355" ht="14.25" customHeight="1">
      <c r="B355" s="9"/>
    </row>
    <row r="356" ht="14.25" customHeight="1">
      <c r="B356" s="9"/>
    </row>
    <row r="357" ht="14.25" customHeight="1">
      <c r="B357" s="9"/>
    </row>
    <row r="358" ht="14.25" customHeight="1">
      <c r="B358" s="9"/>
    </row>
    <row r="359" ht="14.25" customHeight="1">
      <c r="B359" s="9"/>
    </row>
    <row r="360" ht="14.25" customHeight="1">
      <c r="B360" s="9"/>
    </row>
    <row r="361" ht="14.25" customHeight="1">
      <c r="B361" s="9"/>
    </row>
    <row r="362" ht="14.25" customHeight="1">
      <c r="B362" s="9"/>
    </row>
    <row r="363" ht="14.25" customHeight="1">
      <c r="B363" s="9"/>
    </row>
    <row r="364" ht="14.25" customHeight="1">
      <c r="B364" s="9"/>
    </row>
    <row r="365" ht="14.25" customHeight="1">
      <c r="B365" s="9"/>
    </row>
    <row r="366" ht="14.25" customHeight="1">
      <c r="B366" s="9"/>
    </row>
    <row r="367" ht="14.25" customHeight="1">
      <c r="B367" s="9"/>
    </row>
    <row r="368" ht="14.25" customHeight="1">
      <c r="B368" s="9"/>
    </row>
    <row r="369" ht="14.25" customHeight="1">
      <c r="B369" s="9"/>
    </row>
    <row r="370" ht="14.25" customHeight="1">
      <c r="B370" s="9"/>
    </row>
    <row r="371" ht="14.25" customHeight="1">
      <c r="B371" s="9"/>
    </row>
    <row r="372" ht="14.25" customHeight="1">
      <c r="B372" s="9"/>
    </row>
    <row r="373" ht="14.25" customHeight="1">
      <c r="B373" s="9"/>
    </row>
    <row r="374" ht="14.25" customHeight="1">
      <c r="B374" s="9"/>
    </row>
    <row r="375" ht="14.25" customHeight="1">
      <c r="B375" s="9"/>
    </row>
    <row r="376" ht="14.25" customHeight="1">
      <c r="B376" s="9"/>
    </row>
    <row r="377" ht="14.25" customHeight="1">
      <c r="B377" s="9"/>
    </row>
    <row r="378" ht="14.25" customHeight="1">
      <c r="B378" s="9"/>
    </row>
    <row r="379" ht="14.25" customHeight="1">
      <c r="B379" s="9"/>
    </row>
    <row r="380" ht="14.25" customHeight="1">
      <c r="B380" s="9"/>
    </row>
    <row r="381" ht="14.25" customHeight="1">
      <c r="B381" s="9"/>
    </row>
    <row r="382" ht="14.25" customHeight="1">
      <c r="B382" s="9"/>
    </row>
    <row r="383" ht="14.25" customHeight="1">
      <c r="B383" s="9"/>
    </row>
    <row r="384" ht="14.25" customHeight="1">
      <c r="B384" s="9"/>
    </row>
    <row r="385" ht="14.25" customHeight="1">
      <c r="B385" s="9"/>
    </row>
    <row r="386" ht="14.25" customHeight="1">
      <c r="B386" s="9"/>
    </row>
    <row r="387" ht="14.25" customHeight="1">
      <c r="B387" s="9"/>
    </row>
    <row r="388" ht="14.25" customHeight="1">
      <c r="B388" s="9"/>
    </row>
    <row r="389" ht="14.25" customHeight="1">
      <c r="B389" s="9"/>
    </row>
    <row r="390" ht="14.25" customHeight="1">
      <c r="B390" s="9"/>
    </row>
    <row r="391" ht="14.25" customHeight="1">
      <c r="B391" s="9"/>
    </row>
    <row r="392" ht="14.25" customHeight="1">
      <c r="B392" s="9"/>
    </row>
    <row r="393" ht="14.25" customHeight="1">
      <c r="B393" s="9"/>
    </row>
    <row r="394" ht="14.25" customHeight="1">
      <c r="B394" s="9"/>
    </row>
    <row r="395" ht="14.25" customHeight="1">
      <c r="B395" s="9"/>
    </row>
    <row r="396" ht="14.25" customHeight="1">
      <c r="B396" s="9"/>
    </row>
    <row r="397" ht="14.25" customHeight="1">
      <c r="B397" s="9"/>
    </row>
    <row r="398" ht="14.25" customHeight="1">
      <c r="B398" s="9"/>
    </row>
    <row r="399" ht="14.25" customHeight="1">
      <c r="B399" s="9"/>
    </row>
    <row r="400" ht="14.25" customHeight="1">
      <c r="B400" s="9"/>
    </row>
    <row r="401" ht="14.25" customHeight="1">
      <c r="B401" s="9"/>
    </row>
    <row r="402" ht="14.25" customHeight="1">
      <c r="B402" s="9"/>
    </row>
    <row r="403" ht="14.25" customHeight="1">
      <c r="B403" s="9"/>
    </row>
    <row r="404" ht="14.25" customHeight="1">
      <c r="B404" s="9"/>
    </row>
    <row r="405" ht="14.25" customHeight="1">
      <c r="B405" s="9"/>
    </row>
    <row r="406" ht="14.25" customHeight="1">
      <c r="B406" s="9"/>
    </row>
    <row r="407" ht="14.25" customHeight="1">
      <c r="B407" s="9"/>
    </row>
    <row r="408" ht="14.25" customHeight="1">
      <c r="B408" s="9"/>
    </row>
    <row r="409" ht="14.25" customHeight="1">
      <c r="B409" s="9"/>
    </row>
    <row r="410" ht="14.25" customHeight="1">
      <c r="B410" s="9"/>
    </row>
    <row r="411" ht="14.25" customHeight="1">
      <c r="B411" s="9"/>
    </row>
    <row r="412" ht="14.25" customHeight="1">
      <c r="B412" s="9"/>
    </row>
    <row r="413" ht="14.25" customHeight="1">
      <c r="B413" s="9"/>
    </row>
    <row r="414" ht="14.25" customHeight="1">
      <c r="B414" s="9"/>
    </row>
    <row r="415" ht="14.25" customHeight="1">
      <c r="B415" s="9"/>
    </row>
    <row r="416" ht="14.25" customHeight="1">
      <c r="B416" s="9"/>
    </row>
    <row r="417" ht="14.25" customHeight="1">
      <c r="B417" s="9"/>
    </row>
    <row r="418" ht="14.25" customHeight="1">
      <c r="B418" s="9"/>
    </row>
    <row r="419" ht="14.25" customHeight="1">
      <c r="B419" s="9"/>
    </row>
    <row r="420" ht="14.25" customHeight="1">
      <c r="B420" s="9"/>
    </row>
    <row r="421" ht="14.25" customHeight="1">
      <c r="B421" s="9"/>
    </row>
    <row r="422" ht="14.25" customHeight="1">
      <c r="B422" s="9"/>
    </row>
    <row r="423" ht="14.25" customHeight="1">
      <c r="B423" s="9"/>
    </row>
    <row r="424" ht="14.25" customHeight="1">
      <c r="B424" s="9"/>
    </row>
    <row r="425" ht="14.25" customHeight="1">
      <c r="B425" s="9"/>
    </row>
    <row r="426" ht="14.25" customHeight="1">
      <c r="B426" s="9"/>
    </row>
    <row r="427" ht="14.25" customHeight="1">
      <c r="B427" s="9"/>
    </row>
    <row r="428" ht="14.25" customHeight="1">
      <c r="B428" s="9"/>
    </row>
    <row r="429" ht="14.25" customHeight="1">
      <c r="B429" s="9"/>
    </row>
    <row r="430" ht="14.25" customHeight="1">
      <c r="B430" s="9"/>
    </row>
    <row r="431" ht="14.25" customHeight="1">
      <c r="B431" s="9"/>
    </row>
    <row r="432" ht="14.25" customHeight="1">
      <c r="B432" s="9"/>
    </row>
    <row r="433" ht="14.25" customHeight="1">
      <c r="B433" s="9"/>
    </row>
    <row r="434" ht="14.25" customHeight="1">
      <c r="B434" s="9"/>
    </row>
    <row r="435" ht="14.25" customHeight="1">
      <c r="B435" s="9"/>
    </row>
    <row r="436" ht="14.25" customHeight="1">
      <c r="B436" s="9"/>
    </row>
    <row r="437" ht="14.25" customHeight="1">
      <c r="B437" s="9"/>
    </row>
    <row r="438" ht="14.25" customHeight="1">
      <c r="B438" s="9"/>
    </row>
    <row r="439" ht="14.25" customHeight="1">
      <c r="B439" s="9"/>
    </row>
    <row r="440" ht="14.25" customHeight="1">
      <c r="B440" s="9"/>
    </row>
    <row r="441" ht="14.25" customHeight="1">
      <c r="B441" s="9"/>
    </row>
    <row r="442" ht="14.25" customHeight="1">
      <c r="B442" s="9"/>
    </row>
    <row r="443" ht="14.25" customHeight="1">
      <c r="B443" s="9"/>
    </row>
    <row r="444" ht="14.25" customHeight="1">
      <c r="B444" s="9"/>
    </row>
    <row r="445" ht="14.25" customHeight="1">
      <c r="B445" s="9"/>
    </row>
    <row r="446" ht="14.25" customHeight="1">
      <c r="B446" s="9"/>
    </row>
    <row r="447" ht="14.25" customHeight="1">
      <c r="B447" s="9"/>
    </row>
    <row r="448" ht="14.25" customHeight="1">
      <c r="B448" s="9"/>
    </row>
    <row r="449" ht="14.25" customHeight="1">
      <c r="B449" s="9"/>
    </row>
    <row r="450" ht="14.25" customHeight="1">
      <c r="B450" s="9"/>
    </row>
    <row r="451" ht="14.25" customHeight="1">
      <c r="B451" s="9"/>
    </row>
    <row r="452" ht="14.25" customHeight="1">
      <c r="B452" s="9"/>
    </row>
    <row r="453" ht="14.25" customHeight="1">
      <c r="B453" s="9"/>
    </row>
    <row r="454" ht="14.25" customHeight="1">
      <c r="B454" s="9"/>
    </row>
    <row r="455" ht="14.25" customHeight="1">
      <c r="B455" s="9"/>
    </row>
    <row r="456" ht="14.25" customHeight="1">
      <c r="B456" s="9"/>
    </row>
    <row r="457" ht="14.25" customHeight="1">
      <c r="B457" s="9"/>
    </row>
    <row r="458" ht="14.25" customHeight="1">
      <c r="B458" s="9"/>
    </row>
    <row r="459" ht="14.25" customHeight="1">
      <c r="B459" s="9"/>
    </row>
    <row r="460" ht="14.25" customHeight="1">
      <c r="B460" s="9"/>
    </row>
    <row r="461" ht="14.25" customHeight="1">
      <c r="B461" s="9"/>
    </row>
    <row r="462" ht="14.25" customHeight="1">
      <c r="B462" s="9"/>
    </row>
    <row r="463" ht="14.25" customHeight="1">
      <c r="B463" s="9"/>
    </row>
    <row r="464" ht="14.25" customHeight="1">
      <c r="B464" s="9"/>
    </row>
    <row r="465" ht="14.25" customHeight="1">
      <c r="B465" s="9"/>
    </row>
    <row r="466" ht="14.25" customHeight="1">
      <c r="B466" s="9"/>
    </row>
    <row r="467" ht="14.25" customHeight="1">
      <c r="B467" s="9"/>
    </row>
    <row r="468" ht="14.25" customHeight="1">
      <c r="B468" s="9"/>
    </row>
    <row r="469" ht="14.25" customHeight="1">
      <c r="B469" s="9"/>
    </row>
    <row r="470" ht="14.25" customHeight="1">
      <c r="B470" s="9"/>
    </row>
    <row r="471" ht="14.25" customHeight="1">
      <c r="B471" s="9"/>
    </row>
    <row r="472" ht="14.25" customHeight="1">
      <c r="B472" s="9"/>
    </row>
    <row r="473" ht="14.25" customHeight="1">
      <c r="B473" s="9"/>
    </row>
    <row r="474" ht="14.25" customHeight="1">
      <c r="B474" s="9"/>
    </row>
    <row r="475" ht="14.25" customHeight="1">
      <c r="B475" s="9"/>
    </row>
    <row r="476" ht="14.25" customHeight="1">
      <c r="B476" s="9"/>
    </row>
    <row r="477" ht="14.25" customHeight="1">
      <c r="B477" s="9"/>
    </row>
    <row r="478" ht="14.25" customHeight="1">
      <c r="B478" s="9"/>
    </row>
    <row r="479" ht="14.25" customHeight="1">
      <c r="B479" s="9"/>
    </row>
    <row r="480" ht="14.25" customHeight="1">
      <c r="B480" s="9"/>
    </row>
    <row r="481" ht="14.25" customHeight="1">
      <c r="B481" s="9"/>
    </row>
    <row r="482" ht="14.25" customHeight="1">
      <c r="B482" s="9"/>
    </row>
    <row r="483" ht="14.25" customHeight="1">
      <c r="B483" s="9"/>
    </row>
    <row r="484" ht="14.25" customHeight="1">
      <c r="B484" s="9"/>
    </row>
    <row r="485" ht="14.25" customHeight="1">
      <c r="B485" s="9"/>
    </row>
    <row r="486" ht="14.25" customHeight="1">
      <c r="B486" s="9"/>
    </row>
    <row r="487" ht="14.25" customHeight="1">
      <c r="B487" s="9"/>
    </row>
    <row r="488" ht="14.25" customHeight="1">
      <c r="B488" s="9"/>
    </row>
    <row r="489" ht="14.25" customHeight="1">
      <c r="B489" s="9"/>
    </row>
    <row r="490" ht="14.25" customHeight="1">
      <c r="B490" s="9"/>
    </row>
    <row r="491" ht="14.25" customHeight="1">
      <c r="B491" s="9"/>
    </row>
    <row r="492" ht="14.25" customHeight="1">
      <c r="B492" s="9"/>
    </row>
    <row r="493" ht="14.25" customHeight="1">
      <c r="B493" s="9"/>
    </row>
    <row r="494" ht="14.25" customHeight="1">
      <c r="B494" s="9"/>
    </row>
    <row r="495" ht="14.25" customHeight="1">
      <c r="B495" s="9"/>
    </row>
    <row r="496" ht="14.25" customHeight="1">
      <c r="B496" s="9"/>
    </row>
    <row r="497" ht="14.25" customHeight="1">
      <c r="B497" s="9"/>
    </row>
    <row r="498" ht="14.25" customHeight="1">
      <c r="B498" s="9"/>
    </row>
    <row r="499" ht="14.25" customHeight="1">
      <c r="B499" s="9"/>
    </row>
    <row r="500" ht="14.25" customHeight="1">
      <c r="B500" s="9"/>
    </row>
    <row r="501" ht="14.25" customHeight="1">
      <c r="B501" s="9"/>
    </row>
    <row r="502" ht="14.25" customHeight="1">
      <c r="B502" s="9"/>
    </row>
    <row r="503" ht="14.25" customHeight="1">
      <c r="B503" s="9"/>
    </row>
    <row r="504" ht="14.25" customHeight="1">
      <c r="B504" s="9"/>
    </row>
    <row r="505" ht="14.25" customHeight="1">
      <c r="B505" s="9"/>
    </row>
    <row r="506" ht="14.25" customHeight="1">
      <c r="B506" s="9"/>
    </row>
    <row r="507" ht="14.25" customHeight="1">
      <c r="B507" s="9"/>
    </row>
    <row r="508" ht="14.25" customHeight="1">
      <c r="B508" s="9"/>
    </row>
    <row r="509" ht="14.25" customHeight="1">
      <c r="B509" s="9"/>
    </row>
    <row r="510" ht="14.25" customHeight="1">
      <c r="B510" s="9"/>
    </row>
    <row r="511" ht="14.25" customHeight="1">
      <c r="B511" s="9"/>
    </row>
    <row r="512" ht="14.25" customHeight="1">
      <c r="B512" s="9"/>
    </row>
    <row r="513" ht="14.25" customHeight="1">
      <c r="B513" s="9"/>
    </row>
    <row r="514" ht="14.25" customHeight="1">
      <c r="B514" s="9"/>
    </row>
    <row r="515" ht="14.25" customHeight="1">
      <c r="B515" s="9"/>
    </row>
    <row r="516" ht="14.25" customHeight="1">
      <c r="B516" s="9"/>
    </row>
    <row r="517" ht="14.25" customHeight="1">
      <c r="B517" s="9"/>
    </row>
    <row r="518" ht="14.25" customHeight="1">
      <c r="B518" s="9"/>
    </row>
    <row r="519" ht="14.25" customHeight="1">
      <c r="B519" s="9"/>
    </row>
    <row r="520" ht="14.25" customHeight="1">
      <c r="B520" s="9"/>
    </row>
    <row r="521" ht="14.25" customHeight="1">
      <c r="B521" s="9"/>
    </row>
    <row r="522" ht="14.25" customHeight="1">
      <c r="B522" s="9"/>
    </row>
    <row r="523" ht="14.25" customHeight="1">
      <c r="B523" s="9"/>
    </row>
    <row r="524" ht="14.25" customHeight="1">
      <c r="B524" s="9"/>
    </row>
    <row r="525" ht="14.25" customHeight="1">
      <c r="B525" s="9"/>
    </row>
    <row r="526" ht="14.25" customHeight="1">
      <c r="B526" s="9"/>
    </row>
    <row r="527" ht="14.25" customHeight="1">
      <c r="B527" s="9"/>
    </row>
    <row r="528" ht="14.25" customHeight="1">
      <c r="B528" s="9"/>
    </row>
    <row r="529" ht="14.25" customHeight="1">
      <c r="B529" s="9"/>
    </row>
    <row r="530" ht="14.25" customHeight="1">
      <c r="B530" s="9"/>
    </row>
    <row r="531" ht="14.25" customHeight="1">
      <c r="B531" s="9"/>
    </row>
    <row r="532" ht="14.25" customHeight="1">
      <c r="B532" s="9"/>
    </row>
    <row r="533" ht="14.25" customHeight="1">
      <c r="B533" s="9"/>
    </row>
    <row r="534" ht="14.25" customHeight="1">
      <c r="B534" s="9"/>
    </row>
    <row r="535" ht="14.25" customHeight="1">
      <c r="B535" s="9"/>
    </row>
    <row r="536" ht="14.25" customHeight="1">
      <c r="B536" s="9"/>
    </row>
    <row r="537" ht="14.25" customHeight="1">
      <c r="B537" s="9"/>
    </row>
    <row r="538" ht="14.25" customHeight="1">
      <c r="B538" s="9"/>
    </row>
    <row r="539" ht="14.25" customHeight="1">
      <c r="B539" s="9"/>
    </row>
    <row r="540" ht="14.25" customHeight="1">
      <c r="B540" s="9"/>
    </row>
    <row r="541" ht="14.25" customHeight="1">
      <c r="B541" s="9"/>
    </row>
    <row r="542" ht="14.25" customHeight="1">
      <c r="B542" s="9"/>
    </row>
    <row r="543" ht="14.25" customHeight="1">
      <c r="B543" s="9"/>
    </row>
    <row r="544" ht="14.25" customHeight="1">
      <c r="B544" s="9"/>
    </row>
    <row r="545" ht="14.25" customHeight="1">
      <c r="B545" s="9"/>
    </row>
    <row r="546" ht="14.25" customHeight="1">
      <c r="B546" s="9"/>
    </row>
    <row r="547" ht="14.25" customHeight="1">
      <c r="B547" s="9"/>
    </row>
    <row r="548" ht="14.25" customHeight="1">
      <c r="B548" s="9"/>
    </row>
    <row r="549" ht="14.25" customHeight="1">
      <c r="B549" s="9"/>
    </row>
    <row r="550" ht="14.25" customHeight="1">
      <c r="B550" s="9"/>
    </row>
    <row r="551" ht="14.25" customHeight="1">
      <c r="B551" s="9"/>
    </row>
    <row r="552" ht="14.25" customHeight="1">
      <c r="B552" s="9"/>
    </row>
    <row r="553" ht="14.25" customHeight="1">
      <c r="B553" s="9"/>
    </row>
    <row r="554" ht="14.25" customHeight="1">
      <c r="B554" s="9"/>
    </row>
    <row r="555" ht="14.25" customHeight="1">
      <c r="B555" s="9"/>
    </row>
    <row r="556" ht="14.25" customHeight="1">
      <c r="B556" s="9"/>
    </row>
    <row r="557" ht="14.25" customHeight="1">
      <c r="B557" s="9"/>
    </row>
    <row r="558" ht="14.25" customHeight="1">
      <c r="B558" s="9"/>
    </row>
    <row r="559" ht="14.25" customHeight="1">
      <c r="B559" s="9"/>
    </row>
    <row r="560" ht="14.25" customHeight="1">
      <c r="B560" s="9"/>
    </row>
    <row r="561" ht="14.25" customHeight="1">
      <c r="B561" s="9"/>
    </row>
    <row r="562" ht="14.25" customHeight="1">
      <c r="B562" s="9"/>
    </row>
    <row r="563" ht="14.25" customHeight="1">
      <c r="B563" s="9"/>
    </row>
    <row r="564" ht="14.25" customHeight="1">
      <c r="B564" s="9"/>
    </row>
    <row r="565" ht="14.25" customHeight="1">
      <c r="B565" s="9"/>
    </row>
    <row r="566" ht="14.25" customHeight="1">
      <c r="B566" s="9"/>
    </row>
    <row r="567" ht="14.25" customHeight="1">
      <c r="B567" s="9"/>
    </row>
    <row r="568" ht="14.25" customHeight="1">
      <c r="B568" s="9"/>
    </row>
    <row r="569" ht="14.25" customHeight="1">
      <c r="B569" s="9"/>
    </row>
    <row r="570" ht="14.25" customHeight="1">
      <c r="B570" s="9"/>
    </row>
    <row r="571" ht="14.25" customHeight="1">
      <c r="B571" s="9"/>
    </row>
    <row r="572" ht="14.25" customHeight="1">
      <c r="B572" s="9"/>
    </row>
    <row r="573" ht="14.25" customHeight="1">
      <c r="B573" s="9"/>
    </row>
    <row r="574" ht="14.25" customHeight="1">
      <c r="B574" s="9"/>
    </row>
    <row r="575" ht="14.25" customHeight="1">
      <c r="B575" s="9"/>
    </row>
    <row r="576" ht="14.25" customHeight="1">
      <c r="B576" s="9"/>
    </row>
    <row r="577" ht="14.25" customHeight="1">
      <c r="B577" s="9"/>
    </row>
    <row r="578" ht="14.25" customHeight="1">
      <c r="B578" s="9"/>
    </row>
    <row r="579" ht="14.25" customHeight="1">
      <c r="B579" s="9"/>
    </row>
    <row r="580" ht="14.25" customHeight="1">
      <c r="B580" s="9"/>
    </row>
    <row r="581" ht="14.25" customHeight="1">
      <c r="B581" s="9"/>
    </row>
    <row r="582" ht="14.25" customHeight="1">
      <c r="B582" s="9"/>
    </row>
    <row r="583" ht="14.25" customHeight="1">
      <c r="B583" s="9"/>
    </row>
    <row r="584" ht="14.25" customHeight="1">
      <c r="B584" s="9"/>
    </row>
    <row r="585" ht="14.25" customHeight="1">
      <c r="B585" s="9"/>
    </row>
    <row r="586" ht="14.25" customHeight="1">
      <c r="B586" s="9"/>
    </row>
    <row r="587" ht="14.25" customHeight="1">
      <c r="B587" s="9"/>
    </row>
    <row r="588" ht="14.25" customHeight="1">
      <c r="B588" s="9"/>
    </row>
    <row r="589" ht="14.25" customHeight="1">
      <c r="B589" s="9"/>
    </row>
    <row r="590" ht="14.25" customHeight="1">
      <c r="B590" s="9"/>
    </row>
    <row r="591" ht="14.25" customHeight="1">
      <c r="B591" s="9"/>
    </row>
    <row r="592" ht="14.25" customHeight="1">
      <c r="B592" s="9"/>
    </row>
    <row r="593" ht="14.25" customHeight="1">
      <c r="B593" s="9"/>
    </row>
    <row r="594" ht="14.25" customHeight="1">
      <c r="B594" s="9"/>
    </row>
    <row r="595" ht="14.25" customHeight="1">
      <c r="B595" s="9"/>
    </row>
    <row r="596" ht="14.25" customHeight="1">
      <c r="B596" s="9"/>
    </row>
    <row r="597" ht="14.25" customHeight="1">
      <c r="B597" s="9"/>
    </row>
    <row r="598" ht="14.25" customHeight="1">
      <c r="B598" s="9"/>
    </row>
    <row r="599" ht="14.25" customHeight="1">
      <c r="B599" s="9"/>
    </row>
    <row r="600" ht="14.25" customHeight="1">
      <c r="B600" s="9"/>
    </row>
    <row r="601" ht="14.25" customHeight="1">
      <c r="B601" s="9"/>
    </row>
    <row r="602" ht="14.25" customHeight="1">
      <c r="B602" s="9"/>
    </row>
    <row r="603" ht="14.25" customHeight="1">
      <c r="B603" s="9"/>
    </row>
    <row r="604" ht="14.25" customHeight="1">
      <c r="B604" s="9"/>
    </row>
    <row r="605" ht="14.25" customHeight="1">
      <c r="B605" s="9"/>
    </row>
    <row r="606" ht="14.25" customHeight="1">
      <c r="B606" s="9"/>
    </row>
    <row r="607" ht="14.25" customHeight="1">
      <c r="B607" s="9"/>
    </row>
    <row r="608" ht="14.25" customHeight="1">
      <c r="B608" s="9"/>
    </row>
    <row r="609" ht="14.25" customHeight="1">
      <c r="B609" s="9"/>
    </row>
    <row r="610" ht="14.25" customHeight="1">
      <c r="B610" s="9"/>
    </row>
    <row r="611" ht="14.25" customHeight="1">
      <c r="B611" s="9"/>
    </row>
    <row r="612" ht="14.25" customHeight="1">
      <c r="B612" s="9"/>
    </row>
    <row r="613" ht="14.25" customHeight="1">
      <c r="B613" s="9"/>
    </row>
    <row r="614" ht="14.25" customHeight="1">
      <c r="B614" s="9"/>
    </row>
    <row r="615" ht="14.25" customHeight="1">
      <c r="B615" s="9"/>
    </row>
    <row r="616" ht="14.25" customHeight="1">
      <c r="B616" s="9"/>
    </row>
    <row r="617" ht="14.25" customHeight="1">
      <c r="B617" s="9"/>
    </row>
    <row r="618" ht="14.25" customHeight="1">
      <c r="B618" s="9"/>
    </row>
    <row r="619" ht="14.25" customHeight="1">
      <c r="B619" s="9"/>
    </row>
    <row r="620" ht="14.25" customHeight="1">
      <c r="B620" s="9"/>
    </row>
    <row r="621" ht="14.25" customHeight="1">
      <c r="B621" s="9"/>
    </row>
    <row r="622" ht="14.25" customHeight="1">
      <c r="B622" s="9"/>
    </row>
    <row r="623" ht="14.25" customHeight="1">
      <c r="B623" s="9"/>
    </row>
    <row r="624" ht="14.25" customHeight="1">
      <c r="B624" s="9"/>
    </row>
    <row r="625" ht="14.25" customHeight="1">
      <c r="B625" s="9"/>
    </row>
    <row r="626" ht="14.25" customHeight="1">
      <c r="B626" s="9"/>
    </row>
    <row r="627" ht="14.25" customHeight="1">
      <c r="B627" s="9"/>
    </row>
    <row r="628" ht="14.25" customHeight="1">
      <c r="B628" s="9"/>
    </row>
    <row r="629" ht="14.25" customHeight="1">
      <c r="B629" s="9"/>
    </row>
    <row r="630" ht="14.25" customHeight="1">
      <c r="B630" s="9"/>
    </row>
    <row r="631" ht="14.25" customHeight="1">
      <c r="B631" s="9"/>
    </row>
    <row r="632" ht="14.25" customHeight="1">
      <c r="B632" s="9"/>
    </row>
    <row r="633" ht="14.25" customHeight="1">
      <c r="B633" s="9"/>
    </row>
    <row r="634" ht="14.25" customHeight="1">
      <c r="B634" s="9"/>
    </row>
    <row r="635" ht="14.25" customHeight="1">
      <c r="B635" s="9"/>
    </row>
    <row r="636" ht="14.25" customHeight="1">
      <c r="B636" s="9"/>
    </row>
    <row r="637" ht="14.25" customHeight="1">
      <c r="B637" s="9"/>
    </row>
    <row r="638" ht="14.25" customHeight="1">
      <c r="B638" s="9"/>
    </row>
    <row r="639" ht="14.25" customHeight="1">
      <c r="B639" s="9"/>
    </row>
    <row r="640" ht="14.25" customHeight="1">
      <c r="B640" s="9"/>
    </row>
    <row r="641" ht="14.25" customHeight="1">
      <c r="B641" s="9"/>
    </row>
    <row r="642" ht="14.25" customHeight="1">
      <c r="B642" s="9"/>
    </row>
    <row r="643" ht="14.25" customHeight="1">
      <c r="B643" s="9"/>
    </row>
    <row r="644" ht="14.25" customHeight="1">
      <c r="B644" s="9"/>
    </row>
    <row r="645" ht="14.25" customHeight="1">
      <c r="B645" s="9"/>
    </row>
    <row r="646" ht="14.25" customHeight="1">
      <c r="B646" s="9"/>
    </row>
    <row r="647" ht="14.25" customHeight="1">
      <c r="B647" s="9"/>
    </row>
    <row r="648" ht="14.25" customHeight="1">
      <c r="B648" s="9"/>
    </row>
    <row r="649" ht="14.25" customHeight="1">
      <c r="B649" s="9"/>
    </row>
    <row r="650" ht="14.25" customHeight="1">
      <c r="B650" s="9"/>
    </row>
    <row r="651" ht="14.25" customHeight="1">
      <c r="B651" s="9"/>
    </row>
    <row r="652" ht="14.25" customHeight="1">
      <c r="B652" s="9"/>
    </row>
    <row r="653" ht="14.25" customHeight="1">
      <c r="B653" s="9"/>
    </row>
    <row r="654" ht="14.25" customHeight="1">
      <c r="B654" s="9"/>
    </row>
    <row r="655" ht="14.25" customHeight="1">
      <c r="B655" s="9"/>
    </row>
    <row r="656" ht="14.25" customHeight="1">
      <c r="B656" s="9"/>
    </row>
    <row r="657" ht="14.25" customHeight="1">
      <c r="B657" s="9"/>
    </row>
    <row r="658" ht="14.25" customHeight="1">
      <c r="B658" s="9"/>
    </row>
    <row r="659" ht="14.25" customHeight="1">
      <c r="B659" s="9"/>
    </row>
    <row r="660" ht="14.25" customHeight="1">
      <c r="B660" s="9"/>
    </row>
    <row r="661" ht="14.25" customHeight="1">
      <c r="B661" s="9"/>
    </row>
    <row r="662" ht="14.25" customHeight="1">
      <c r="B662" s="9"/>
    </row>
    <row r="663" ht="14.25" customHeight="1">
      <c r="B663" s="9"/>
    </row>
    <row r="664" ht="14.25" customHeight="1">
      <c r="B664" s="9"/>
    </row>
    <row r="665" ht="14.25" customHeight="1">
      <c r="B665" s="9"/>
    </row>
    <row r="666" ht="14.25" customHeight="1">
      <c r="B666" s="9"/>
    </row>
    <row r="667" ht="14.25" customHeight="1">
      <c r="B667" s="9"/>
    </row>
    <row r="668" ht="14.25" customHeight="1">
      <c r="B668" s="9"/>
    </row>
    <row r="669" ht="14.25" customHeight="1">
      <c r="B669" s="9"/>
    </row>
    <row r="670" ht="14.25" customHeight="1">
      <c r="B670" s="9"/>
    </row>
    <row r="671" ht="14.25" customHeight="1">
      <c r="B671" s="9"/>
    </row>
    <row r="672" ht="14.25" customHeight="1">
      <c r="B672" s="9"/>
    </row>
    <row r="673" ht="14.25" customHeight="1">
      <c r="B673" s="9"/>
    </row>
    <row r="674" ht="14.25" customHeight="1">
      <c r="B674" s="9"/>
    </row>
    <row r="675" ht="14.25" customHeight="1">
      <c r="B675" s="9"/>
    </row>
    <row r="676" ht="14.25" customHeight="1">
      <c r="B676" s="9"/>
    </row>
    <row r="677" ht="14.25" customHeight="1">
      <c r="B677" s="9"/>
    </row>
    <row r="678" ht="14.25" customHeight="1">
      <c r="B678" s="9"/>
    </row>
    <row r="679" ht="14.25" customHeight="1">
      <c r="B679" s="9"/>
    </row>
    <row r="680" ht="14.25" customHeight="1">
      <c r="B680" s="9"/>
    </row>
    <row r="681" ht="14.25" customHeight="1">
      <c r="B681" s="9"/>
    </row>
    <row r="682" ht="14.25" customHeight="1">
      <c r="B682" s="9"/>
    </row>
    <row r="683" ht="14.25" customHeight="1">
      <c r="B683" s="9"/>
    </row>
    <row r="684" ht="14.25" customHeight="1">
      <c r="B684" s="9"/>
    </row>
    <row r="685" ht="14.25" customHeight="1">
      <c r="B685" s="9"/>
    </row>
    <row r="686" ht="14.25" customHeight="1">
      <c r="B686" s="9"/>
    </row>
    <row r="687" ht="14.25" customHeight="1">
      <c r="B687" s="9"/>
    </row>
    <row r="688" ht="14.25" customHeight="1">
      <c r="B688" s="9"/>
    </row>
    <row r="689" ht="14.25" customHeight="1">
      <c r="B689" s="9"/>
    </row>
    <row r="690" ht="14.25" customHeight="1">
      <c r="B690" s="9"/>
    </row>
    <row r="691" ht="14.25" customHeight="1">
      <c r="B691" s="9"/>
    </row>
    <row r="692" ht="14.25" customHeight="1">
      <c r="B692" s="9"/>
    </row>
    <row r="693" ht="14.25" customHeight="1">
      <c r="B693" s="9"/>
    </row>
    <row r="694" ht="14.25" customHeight="1">
      <c r="B694" s="9"/>
    </row>
    <row r="695" ht="14.25" customHeight="1">
      <c r="B695" s="9"/>
    </row>
    <row r="696" ht="14.25" customHeight="1">
      <c r="B696" s="9"/>
    </row>
    <row r="697" ht="14.25" customHeight="1">
      <c r="B697" s="9"/>
    </row>
    <row r="698" ht="14.25" customHeight="1">
      <c r="B698" s="9"/>
    </row>
    <row r="699" ht="14.25" customHeight="1">
      <c r="B699" s="9"/>
    </row>
    <row r="700" ht="14.25" customHeight="1">
      <c r="B700" s="9"/>
    </row>
    <row r="701" ht="14.25" customHeight="1">
      <c r="B701" s="9"/>
    </row>
    <row r="702" ht="14.25" customHeight="1">
      <c r="B702" s="9"/>
    </row>
    <row r="703" ht="14.25" customHeight="1">
      <c r="B703" s="9"/>
    </row>
    <row r="704" ht="14.25" customHeight="1">
      <c r="B704" s="9"/>
    </row>
    <row r="705" ht="14.25" customHeight="1">
      <c r="B705" s="9"/>
    </row>
    <row r="706" ht="14.25" customHeight="1">
      <c r="B706" s="9"/>
    </row>
    <row r="707" ht="14.25" customHeight="1">
      <c r="B707" s="9"/>
    </row>
    <row r="708" ht="14.25" customHeight="1">
      <c r="B708" s="9"/>
    </row>
    <row r="709" ht="14.25" customHeight="1">
      <c r="B709" s="9"/>
    </row>
    <row r="710" ht="14.25" customHeight="1">
      <c r="B710" s="9"/>
    </row>
    <row r="711" ht="14.25" customHeight="1">
      <c r="B711" s="9"/>
    </row>
    <row r="712" ht="14.25" customHeight="1">
      <c r="B712" s="9"/>
    </row>
    <row r="713" ht="14.25" customHeight="1">
      <c r="B713" s="9"/>
    </row>
    <row r="714" ht="14.25" customHeight="1">
      <c r="B714" s="9"/>
    </row>
    <row r="715" ht="14.25" customHeight="1">
      <c r="B715" s="9"/>
    </row>
    <row r="716" ht="14.25" customHeight="1">
      <c r="B716" s="9"/>
    </row>
    <row r="717" ht="14.25" customHeight="1">
      <c r="B717" s="9"/>
    </row>
    <row r="718" ht="14.25" customHeight="1">
      <c r="B718" s="9"/>
    </row>
    <row r="719" ht="14.25" customHeight="1">
      <c r="B719" s="9"/>
    </row>
    <row r="720" ht="14.25" customHeight="1">
      <c r="B720" s="9"/>
    </row>
    <row r="721" ht="14.25" customHeight="1">
      <c r="B721" s="9"/>
    </row>
    <row r="722" ht="14.25" customHeight="1">
      <c r="B722" s="9"/>
    </row>
    <row r="723" ht="14.25" customHeight="1">
      <c r="B723" s="9"/>
    </row>
    <row r="724" ht="14.25" customHeight="1">
      <c r="B724" s="9"/>
    </row>
    <row r="725" ht="14.25" customHeight="1">
      <c r="B725" s="9"/>
    </row>
    <row r="726" ht="14.25" customHeight="1">
      <c r="B726" s="9"/>
    </row>
    <row r="727" ht="14.25" customHeight="1">
      <c r="B727" s="9"/>
    </row>
    <row r="728" ht="14.25" customHeight="1">
      <c r="B728" s="9"/>
    </row>
    <row r="729" ht="14.25" customHeight="1">
      <c r="B729" s="9"/>
    </row>
    <row r="730" ht="14.25" customHeight="1">
      <c r="B730" s="9"/>
    </row>
    <row r="731" ht="14.25" customHeight="1">
      <c r="B731" s="9"/>
    </row>
    <row r="732" ht="14.25" customHeight="1">
      <c r="B732" s="9"/>
    </row>
    <row r="733" ht="14.25" customHeight="1">
      <c r="B733" s="9"/>
    </row>
    <row r="734" ht="14.25" customHeight="1">
      <c r="B734" s="9"/>
    </row>
    <row r="735" ht="14.25" customHeight="1">
      <c r="B735" s="9"/>
    </row>
    <row r="736" ht="14.25" customHeight="1">
      <c r="B736" s="9"/>
    </row>
    <row r="737" ht="14.25" customHeight="1">
      <c r="B737" s="9"/>
    </row>
    <row r="738" ht="14.25" customHeight="1">
      <c r="B738" s="9"/>
    </row>
    <row r="739" ht="14.25" customHeight="1">
      <c r="B739" s="9"/>
    </row>
    <row r="740" ht="14.25" customHeight="1">
      <c r="B740" s="9"/>
    </row>
    <row r="741" ht="14.25" customHeight="1">
      <c r="B741" s="9"/>
    </row>
    <row r="742" ht="14.25" customHeight="1">
      <c r="B742" s="9"/>
    </row>
    <row r="743" ht="14.25" customHeight="1">
      <c r="B743" s="9"/>
    </row>
    <row r="744" ht="14.25" customHeight="1">
      <c r="B744" s="9"/>
    </row>
    <row r="745" ht="14.25" customHeight="1">
      <c r="B745" s="9"/>
    </row>
    <row r="746" ht="14.25" customHeight="1">
      <c r="B746" s="9"/>
    </row>
    <row r="747" ht="14.25" customHeight="1">
      <c r="B747" s="9"/>
    </row>
    <row r="748" ht="14.25" customHeight="1">
      <c r="B748" s="9"/>
    </row>
    <row r="749" ht="14.25" customHeight="1">
      <c r="B749" s="9"/>
    </row>
    <row r="750" ht="14.25" customHeight="1">
      <c r="B750" s="9"/>
    </row>
    <row r="751" ht="14.25" customHeight="1">
      <c r="B751" s="9"/>
    </row>
    <row r="752" ht="14.25" customHeight="1">
      <c r="B752" s="9"/>
    </row>
    <row r="753" ht="14.25" customHeight="1">
      <c r="B753" s="9"/>
    </row>
    <row r="754" ht="14.25" customHeight="1">
      <c r="B754" s="9"/>
    </row>
    <row r="755" ht="14.25" customHeight="1">
      <c r="B755" s="9"/>
    </row>
    <row r="756" ht="14.25" customHeight="1">
      <c r="B756" s="9"/>
    </row>
    <row r="757" ht="14.25" customHeight="1">
      <c r="B757" s="9"/>
    </row>
    <row r="758" ht="14.25" customHeight="1">
      <c r="B758" s="9"/>
    </row>
    <row r="759" ht="14.25" customHeight="1">
      <c r="B759" s="9"/>
    </row>
    <row r="760" ht="14.25" customHeight="1">
      <c r="B760" s="9"/>
    </row>
    <row r="761" ht="14.25" customHeight="1">
      <c r="B761" s="9"/>
    </row>
    <row r="762" ht="14.25" customHeight="1">
      <c r="B762" s="9"/>
    </row>
    <row r="763" ht="14.25" customHeight="1">
      <c r="B763" s="9"/>
    </row>
    <row r="764" ht="14.25" customHeight="1">
      <c r="B764" s="9"/>
    </row>
    <row r="765" ht="14.25" customHeight="1">
      <c r="B765" s="9"/>
    </row>
    <row r="766" ht="14.25" customHeight="1">
      <c r="B766" s="9"/>
    </row>
    <row r="767" ht="14.25" customHeight="1">
      <c r="B767" s="9"/>
    </row>
    <row r="768" ht="14.25" customHeight="1">
      <c r="B768" s="9"/>
    </row>
    <row r="769" ht="14.25" customHeight="1">
      <c r="B769" s="9"/>
    </row>
    <row r="770" ht="14.25" customHeight="1">
      <c r="B770" s="9"/>
    </row>
    <row r="771" ht="14.25" customHeight="1">
      <c r="B771" s="9"/>
    </row>
    <row r="772" ht="14.25" customHeight="1">
      <c r="B772" s="9"/>
    </row>
    <row r="773" ht="14.25" customHeight="1">
      <c r="B773" s="9"/>
    </row>
    <row r="774" ht="14.25" customHeight="1">
      <c r="B774" s="9"/>
    </row>
    <row r="775" ht="14.25" customHeight="1">
      <c r="B775" s="9"/>
    </row>
    <row r="776" ht="14.25" customHeight="1">
      <c r="B776" s="9"/>
    </row>
    <row r="777" ht="14.25" customHeight="1">
      <c r="B777" s="9"/>
    </row>
    <row r="778" ht="14.25" customHeight="1">
      <c r="B778" s="9"/>
    </row>
    <row r="779" ht="14.25" customHeight="1">
      <c r="B779" s="9"/>
    </row>
    <row r="780" ht="14.25" customHeight="1">
      <c r="B780" s="9"/>
    </row>
    <row r="781" ht="14.25" customHeight="1">
      <c r="B781" s="9"/>
    </row>
    <row r="782" ht="14.25" customHeight="1">
      <c r="B782" s="9"/>
    </row>
    <row r="783" ht="14.25" customHeight="1">
      <c r="B783" s="9"/>
    </row>
    <row r="784" ht="14.25" customHeight="1">
      <c r="B784" s="9"/>
    </row>
    <row r="785" ht="14.25" customHeight="1">
      <c r="B785" s="9"/>
    </row>
    <row r="786" ht="14.25" customHeight="1">
      <c r="B786" s="9"/>
    </row>
    <row r="787" ht="14.25" customHeight="1">
      <c r="B787" s="9"/>
    </row>
    <row r="788" ht="14.25" customHeight="1">
      <c r="B788" s="9"/>
    </row>
    <row r="789" ht="14.25" customHeight="1">
      <c r="B789" s="9"/>
    </row>
    <row r="790" ht="14.25" customHeight="1">
      <c r="B790" s="9"/>
    </row>
    <row r="791" ht="14.25" customHeight="1">
      <c r="B791" s="9"/>
    </row>
    <row r="792" ht="14.25" customHeight="1">
      <c r="B792" s="9"/>
    </row>
    <row r="793" ht="14.25" customHeight="1">
      <c r="B793" s="9"/>
    </row>
    <row r="794" ht="14.25" customHeight="1">
      <c r="B794" s="9"/>
    </row>
    <row r="795" ht="14.25" customHeight="1">
      <c r="B795" s="9"/>
    </row>
    <row r="796" ht="14.25" customHeight="1">
      <c r="B796" s="9"/>
    </row>
    <row r="797" ht="14.25" customHeight="1">
      <c r="B797" s="9"/>
    </row>
    <row r="798" ht="14.25" customHeight="1">
      <c r="B798" s="9"/>
    </row>
    <row r="799" ht="14.25" customHeight="1">
      <c r="B799" s="9"/>
    </row>
    <row r="800" ht="14.25" customHeight="1">
      <c r="B800" s="9"/>
    </row>
    <row r="801" ht="14.25" customHeight="1">
      <c r="B801" s="9"/>
    </row>
    <row r="802" ht="14.25" customHeight="1">
      <c r="B802" s="9"/>
    </row>
    <row r="803" ht="14.25" customHeight="1">
      <c r="B803" s="9"/>
    </row>
    <row r="804" ht="14.25" customHeight="1">
      <c r="B804" s="9"/>
    </row>
    <row r="805" ht="14.25" customHeight="1">
      <c r="B805" s="9"/>
    </row>
    <row r="806" ht="14.25" customHeight="1">
      <c r="B806" s="9"/>
    </row>
    <row r="807" ht="14.25" customHeight="1">
      <c r="B807" s="9"/>
    </row>
    <row r="808" ht="14.25" customHeight="1">
      <c r="B808" s="9"/>
    </row>
    <row r="809" ht="14.25" customHeight="1">
      <c r="B809" s="9"/>
    </row>
    <row r="810" ht="14.25" customHeight="1">
      <c r="B810" s="9"/>
    </row>
    <row r="811" ht="14.25" customHeight="1">
      <c r="B811" s="9"/>
    </row>
    <row r="812" ht="14.25" customHeight="1">
      <c r="B812" s="9"/>
    </row>
    <row r="813" ht="14.25" customHeight="1">
      <c r="B813" s="9"/>
    </row>
    <row r="814" ht="14.25" customHeight="1">
      <c r="B814" s="9"/>
    </row>
    <row r="815" ht="14.25" customHeight="1">
      <c r="B815" s="9"/>
    </row>
    <row r="816" ht="14.25" customHeight="1">
      <c r="B816" s="9"/>
    </row>
    <row r="817" ht="14.25" customHeight="1">
      <c r="B817" s="9"/>
    </row>
    <row r="818" ht="14.25" customHeight="1">
      <c r="B818" s="9"/>
    </row>
    <row r="819" ht="14.25" customHeight="1">
      <c r="B819" s="9"/>
    </row>
    <row r="820" ht="14.25" customHeight="1">
      <c r="B820" s="9"/>
    </row>
    <row r="821" ht="14.25" customHeight="1">
      <c r="B821" s="9"/>
    </row>
    <row r="822" ht="14.25" customHeight="1">
      <c r="B822" s="9"/>
    </row>
    <row r="823" ht="14.25" customHeight="1">
      <c r="B823" s="9"/>
    </row>
    <row r="824" ht="14.25" customHeight="1">
      <c r="B824" s="9"/>
    </row>
    <row r="825" ht="14.25" customHeight="1">
      <c r="B825" s="9"/>
    </row>
    <row r="826" ht="14.25" customHeight="1">
      <c r="B826" s="9"/>
    </row>
    <row r="827" ht="14.25" customHeight="1">
      <c r="B827" s="9"/>
    </row>
    <row r="828" ht="14.25" customHeight="1">
      <c r="B828" s="9"/>
    </row>
    <row r="829" ht="14.25" customHeight="1">
      <c r="B829" s="9"/>
    </row>
    <row r="830" ht="14.25" customHeight="1">
      <c r="B830" s="9"/>
    </row>
    <row r="831" ht="14.25" customHeight="1">
      <c r="B831" s="9"/>
    </row>
    <row r="832" ht="14.25" customHeight="1">
      <c r="B832" s="9"/>
    </row>
    <row r="833" ht="14.25" customHeight="1">
      <c r="B833" s="9"/>
    </row>
    <row r="834" ht="14.25" customHeight="1">
      <c r="B834" s="9"/>
    </row>
    <row r="835" ht="14.25" customHeight="1">
      <c r="B835" s="9"/>
    </row>
    <row r="836" ht="14.25" customHeight="1">
      <c r="B836" s="9"/>
    </row>
    <row r="837" ht="14.25" customHeight="1">
      <c r="B837" s="9"/>
    </row>
    <row r="838" ht="14.25" customHeight="1">
      <c r="B838" s="9"/>
    </row>
    <row r="839" ht="14.25" customHeight="1">
      <c r="B839" s="9"/>
    </row>
    <row r="840" ht="14.25" customHeight="1">
      <c r="B840" s="9"/>
    </row>
    <row r="841" ht="14.25" customHeight="1">
      <c r="B841" s="9"/>
    </row>
    <row r="842" ht="14.25" customHeight="1">
      <c r="B842" s="9"/>
    </row>
    <row r="843" ht="14.25" customHeight="1">
      <c r="B843" s="9"/>
    </row>
    <row r="844" ht="14.25" customHeight="1">
      <c r="B844" s="9"/>
    </row>
    <row r="845" ht="14.25" customHeight="1">
      <c r="B845" s="9"/>
    </row>
    <row r="846" ht="14.25" customHeight="1">
      <c r="B846" s="9"/>
    </row>
    <row r="847" ht="14.25" customHeight="1">
      <c r="B847" s="9"/>
    </row>
    <row r="848" ht="14.25" customHeight="1">
      <c r="B848" s="9"/>
    </row>
    <row r="849" ht="14.25" customHeight="1">
      <c r="B849" s="9"/>
    </row>
    <row r="850" ht="14.25" customHeight="1">
      <c r="B850" s="9"/>
    </row>
    <row r="851" ht="14.25" customHeight="1">
      <c r="B851" s="9"/>
    </row>
    <row r="852" ht="14.25" customHeight="1">
      <c r="B852" s="9"/>
    </row>
    <row r="853" ht="14.25" customHeight="1">
      <c r="B853" s="9"/>
    </row>
    <row r="854" ht="14.25" customHeight="1">
      <c r="B854" s="9"/>
    </row>
    <row r="855" ht="14.25" customHeight="1">
      <c r="B855" s="9"/>
    </row>
    <row r="856" ht="14.25" customHeight="1">
      <c r="B856" s="9"/>
    </row>
    <row r="857" ht="14.25" customHeight="1">
      <c r="B857" s="9"/>
    </row>
    <row r="858" ht="14.25" customHeight="1">
      <c r="B858" s="9"/>
    </row>
    <row r="859" ht="14.25" customHeight="1">
      <c r="B859" s="9"/>
    </row>
    <row r="860" ht="14.25" customHeight="1">
      <c r="B860" s="9"/>
    </row>
    <row r="861" ht="14.25" customHeight="1">
      <c r="B861" s="9"/>
    </row>
    <row r="862" ht="14.25" customHeight="1">
      <c r="B862" s="9"/>
    </row>
    <row r="863" ht="14.25" customHeight="1">
      <c r="B863" s="9"/>
    </row>
    <row r="864" ht="14.25" customHeight="1">
      <c r="B864" s="9"/>
    </row>
    <row r="865" ht="14.25" customHeight="1">
      <c r="B865" s="9"/>
    </row>
    <row r="866" ht="14.25" customHeight="1">
      <c r="B866" s="9"/>
    </row>
    <row r="867" ht="14.25" customHeight="1">
      <c r="B867" s="9"/>
    </row>
    <row r="868" ht="14.25" customHeight="1">
      <c r="B868" s="9"/>
    </row>
    <row r="869" ht="14.25" customHeight="1">
      <c r="B869" s="9"/>
    </row>
    <row r="870" ht="14.25" customHeight="1">
      <c r="B870" s="9"/>
    </row>
    <row r="871" ht="14.25" customHeight="1">
      <c r="B871" s="9"/>
    </row>
    <row r="872" ht="14.25" customHeight="1">
      <c r="B872" s="9"/>
    </row>
    <row r="873" ht="14.25" customHeight="1">
      <c r="B873" s="9"/>
    </row>
    <row r="874" ht="14.25" customHeight="1">
      <c r="B874" s="9"/>
    </row>
    <row r="875" ht="14.25" customHeight="1">
      <c r="B875" s="9"/>
    </row>
    <row r="876" ht="14.25" customHeight="1">
      <c r="B876" s="9"/>
    </row>
    <row r="877" ht="14.25" customHeight="1">
      <c r="B877" s="9"/>
    </row>
    <row r="878" ht="14.25" customHeight="1">
      <c r="B878" s="9"/>
    </row>
    <row r="879" ht="14.25" customHeight="1">
      <c r="B879" s="9"/>
    </row>
    <row r="880" ht="14.25" customHeight="1">
      <c r="B880" s="9"/>
    </row>
    <row r="881" ht="14.25" customHeight="1">
      <c r="B881" s="9"/>
    </row>
    <row r="882" ht="14.25" customHeight="1">
      <c r="B882" s="9"/>
    </row>
    <row r="883" ht="14.25" customHeight="1">
      <c r="B883" s="9"/>
    </row>
    <row r="884" ht="14.25" customHeight="1">
      <c r="B884" s="9"/>
    </row>
    <row r="885" ht="14.25" customHeight="1">
      <c r="B885" s="9"/>
    </row>
    <row r="886" ht="14.25" customHeight="1">
      <c r="B886" s="9"/>
    </row>
    <row r="887" ht="14.25" customHeight="1">
      <c r="B887" s="9"/>
    </row>
    <row r="888" ht="14.25" customHeight="1">
      <c r="B888" s="9"/>
    </row>
    <row r="889" ht="14.25" customHeight="1">
      <c r="B889" s="9"/>
    </row>
    <row r="890" ht="14.25" customHeight="1">
      <c r="B890" s="9"/>
    </row>
    <row r="891" ht="14.25" customHeight="1">
      <c r="B891" s="9"/>
    </row>
    <row r="892" ht="14.25" customHeight="1">
      <c r="B892" s="9"/>
    </row>
    <row r="893" ht="14.25" customHeight="1">
      <c r="B893" s="9"/>
    </row>
    <row r="894" ht="14.25" customHeight="1">
      <c r="B894" s="9"/>
    </row>
    <row r="895" ht="14.25" customHeight="1">
      <c r="B895" s="9"/>
    </row>
    <row r="896" ht="14.25" customHeight="1">
      <c r="B896" s="9"/>
    </row>
    <row r="897" ht="14.25" customHeight="1">
      <c r="B897" s="9"/>
    </row>
    <row r="898" ht="14.25" customHeight="1">
      <c r="B898" s="9"/>
    </row>
    <row r="899" ht="14.25" customHeight="1">
      <c r="B899" s="9"/>
    </row>
    <row r="900" ht="14.25" customHeight="1">
      <c r="B900" s="9"/>
    </row>
    <row r="901" ht="14.25" customHeight="1">
      <c r="B901" s="9"/>
    </row>
    <row r="902" ht="14.25" customHeight="1">
      <c r="B902" s="9"/>
    </row>
    <row r="903" ht="14.25" customHeight="1">
      <c r="B903" s="9"/>
    </row>
    <row r="904" ht="14.25" customHeight="1">
      <c r="B904" s="9"/>
    </row>
    <row r="905" ht="14.25" customHeight="1">
      <c r="B905" s="9"/>
    </row>
    <row r="906" ht="14.25" customHeight="1">
      <c r="B906" s="9"/>
    </row>
    <row r="907" ht="14.25" customHeight="1">
      <c r="B907" s="9"/>
    </row>
    <row r="908" ht="14.25" customHeight="1">
      <c r="B908" s="9"/>
    </row>
    <row r="909" ht="14.25" customHeight="1">
      <c r="B909" s="9"/>
    </row>
    <row r="910" ht="14.25" customHeight="1">
      <c r="B910" s="9"/>
    </row>
    <row r="911" ht="14.25" customHeight="1">
      <c r="B911" s="9"/>
    </row>
    <row r="912" ht="14.25" customHeight="1">
      <c r="B912" s="9"/>
    </row>
    <row r="913" ht="14.25" customHeight="1">
      <c r="B913" s="9"/>
    </row>
    <row r="914" ht="14.25" customHeight="1">
      <c r="B914" s="9"/>
    </row>
    <row r="915" ht="14.25" customHeight="1">
      <c r="B915" s="9"/>
    </row>
    <row r="916" ht="14.25" customHeight="1">
      <c r="B916" s="9"/>
    </row>
    <row r="917" ht="14.25" customHeight="1">
      <c r="B917" s="9"/>
    </row>
    <row r="918" ht="14.25" customHeight="1">
      <c r="B918" s="9"/>
    </row>
    <row r="919" ht="14.25" customHeight="1">
      <c r="B919" s="9"/>
    </row>
    <row r="920" ht="14.25" customHeight="1">
      <c r="B920" s="9"/>
    </row>
    <row r="921" ht="14.25" customHeight="1">
      <c r="B921" s="9"/>
    </row>
    <row r="922" ht="14.25" customHeight="1">
      <c r="B922" s="9"/>
    </row>
    <row r="923" ht="14.25" customHeight="1">
      <c r="B923" s="9"/>
    </row>
    <row r="924" ht="14.25" customHeight="1">
      <c r="B924" s="9"/>
    </row>
    <row r="925" ht="14.25" customHeight="1">
      <c r="B925" s="9"/>
    </row>
    <row r="926" ht="14.25" customHeight="1">
      <c r="B926" s="9"/>
    </row>
    <row r="927" ht="14.25" customHeight="1">
      <c r="B927" s="9"/>
    </row>
    <row r="928" ht="14.25" customHeight="1">
      <c r="B928" s="9"/>
    </row>
    <row r="929" ht="14.25" customHeight="1">
      <c r="B929" s="9"/>
    </row>
    <row r="930" ht="14.25" customHeight="1">
      <c r="B930" s="9"/>
    </row>
    <row r="931" ht="14.25" customHeight="1">
      <c r="B931" s="9"/>
    </row>
    <row r="932" ht="14.25" customHeight="1">
      <c r="B932" s="9"/>
    </row>
    <row r="933" ht="14.25" customHeight="1">
      <c r="B933" s="9"/>
    </row>
    <row r="934" ht="14.25" customHeight="1">
      <c r="B934" s="9"/>
    </row>
    <row r="935" ht="14.25" customHeight="1">
      <c r="B935" s="9"/>
    </row>
    <row r="936" ht="14.25" customHeight="1">
      <c r="B936" s="9"/>
    </row>
    <row r="937" ht="14.25" customHeight="1">
      <c r="B937" s="9"/>
    </row>
    <row r="938" ht="14.25" customHeight="1">
      <c r="B938" s="9"/>
    </row>
    <row r="939" ht="14.25" customHeight="1">
      <c r="B939" s="9"/>
    </row>
    <row r="940" ht="14.25" customHeight="1">
      <c r="B940" s="9"/>
    </row>
    <row r="941" ht="14.25" customHeight="1">
      <c r="B941" s="9"/>
    </row>
    <row r="942" ht="14.25" customHeight="1">
      <c r="B942" s="9"/>
    </row>
    <row r="943" ht="14.25" customHeight="1">
      <c r="B943" s="9"/>
    </row>
    <row r="944" ht="14.25" customHeight="1">
      <c r="B944" s="9"/>
    </row>
    <row r="945" ht="14.25" customHeight="1">
      <c r="B945" s="9"/>
    </row>
    <row r="946" ht="14.25" customHeight="1">
      <c r="B946" s="9"/>
    </row>
    <row r="947" ht="14.25" customHeight="1">
      <c r="B947" s="9"/>
    </row>
    <row r="948" ht="14.25" customHeight="1">
      <c r="B948" s="9"/>
    </row>
    <row r="949" ht="14.25" customHeight="1">
      <c r="B949" s="9"/>
    </row>
    <row r="950" ht="14.25" customHeight="1">
      <c r="B950" s="9"/>
    </row>
    <row r="951" ht="14.25" customHeight="1">
      <c r="B951" s="9"/>
    </row>
    <row r="952" ht="14.25" customHeight="1">
      <c r="B952" s="9"/>
    </row>
    <row r="953" ht="14.25" customHeight="1">
      <c r="B953" s="9"/>
    </row>
    <row r="954" ht="14.25" customHeight="1">
      <c r="B954" s="9"/>
    </row>
    <row r="955" ht="14.25" customHeight="1">
      <c r="B955" s="9"/>
    </row>
    <row r="956" ht="14.25" customHeight="1">
      <c r="B956" s="9"/>
    </row>
    <row r="957" ht="14.25" customHeight="1">
      <c r="B957" s="9"/>
    </row>
    <row r="958" ht="14.25" customHeight="1">
      <c r="B958" s="9"/>
    </row>
    <row r="959" ht="14.25" customHeight="1">
      <c r="B959" s="9"/>
    </row>
    <row r="960" ht="14.25" customHeight="1">
      <c r="B960" s="9"/>
    </row>
    <row r="961" ht="14.25" customHeight="1">
      <c r="B961" s="9"/>
    </row>
    <row r="962" ht="14.25" customHeight="1">
      <c r="B962" s="9"/>
    </row>
    <row r="963" ht="14.25" customHeight="1">
      <c r="B963" s="9"/>
    </row>
    <row r="964" ht="14.25" customHeight="1">
      <c r="B964" s="9"/>
    </row>
    <row r="965" ht="14.25" customHeight="1">
      <c r="B965" s="9"/>
    </row>
    <row r="966" ht="14.25" customHeight="1">
      <c r="B966" s="9"/>
    </row>
    <row r="967" ht="14.25" customHeight="1">
      <c r="B967" s="9"/>
    </row>
    <row r="968" ht="14.25" customHeight="1">
      <c r="B968" s="9"/>
    </row>
    <row r="969" ht="14.25" customHeight="1">
      <c r="B969" s="9"/>
    </row>
    <row r="970" ht="14.25" customHeight="1">
      <c r="B970" s="9"/>
    </row>
    <row r="971" ht="14.25" customHeight="1">
      <c r="B971" s="9"/>
    </row>
    <row r="972" ht="14.25" customHeight="1">
      <c r="B972" s="9"/>
    </row>
    <row r="973" ht="14.25" customHeight="1">
      <c r="B973" s="9"/>
    </row>
    <row r="974" ht="14.25" customHeight="1">
      <c r="B974" s="9"/>
    </row>
    <row r="975" ht="14.25" customHeight="1">
      <c r="B975" s="9"/>
    </row>
    <row r="976" ht="14.25" customHeight="1">
      <c r="B976" s="9"/>
    </row>
    <row r="977" ht="14.25" customHeight="1">
      <c r="B977" s="9"/>
    </row>
    <row r="978" ht="14.25" customHeight="1">
      <c r="B978" s="9"/>
    </row>
    <row r="979" ht="14.25" customHeight="1">
      <c r="B979" s="9"/>
    </row>
    <row r="980" ht="14.25" customHeight="1">
      <c r="B980" s="9"/>
    </row>
    <row r="981" ht="14.25" customHeight="1">
      <c r="B981" s="9"/>
    </row>
    <row r="982" ht="14.25" customHeight="1">
      <c r="B982" s="9"/>
    </row>
    <row r="983" ht="14.25" customHeight="1">
      <c r="B983" s="9"/>
    </row>
    <row r="984" ht="14.25" customHeight="1">
      <c r="B984" s="9"/>
    </row>
    <row r="985" ht="14.25" customHeight="1">
      <c r="B985" s="9"/>
    </row>
    <row r="986" ht="14.25" customHeight="1">
      <c r="B986" s="9"/>
    </row>
    <row r="987" ht="14.25" customHeight="1">
      <c r="B987" s="9"/>
    </row>
    <row r="988" ht="14.25" customHeight="1">
      <c r="B988" s="9"/>
    </row>
    <row r="989" ht="14.25" customHeight="1">
      <c r="B989" s="9"/>
    </row>
    <row r="990" ht="14.25" customHeight="1">
      <c r="B990" s="9"/>
    </row>
    <row r="991" ht="14.25" customHeight="1">
      <c r="B991" s="9"/>
    </row>
    <row r="992" ht="14.25" customHeight="1">
      <c r="B992" s="9"/>
    </row>
    <row r="993" ht="14.25" customHeight="1">
      <c r="B993" s="9"/>
    </row>
    <row r="994" ht="14.25" customHeight="1">
      <c r="B994" s="9"/>
    </row>
    <row r="995" ht="14.25" customHeight="1">
      <c r="B995" s="9"/>
    </row>
    <row r="996" ht="14.25" customHeight="1">
      <c r="B996" s="9"/>
    </row>
    <row r="997" ht="14.25" customHeight="1">
      <c r="B997" s="9"/>
    </row>
    <row r="998" ht="14.25" customHeight="1">
      <c r="B998" s="9"/>
    </row>
    <row r="999" ht="14.25" customHeight="1">
      <c r="B999" s="9"/>
    </row>
    <row r="1000" ht="14.25" customHeight="1">
      <c r="B1000" s="9"/>
    </row>
  </sheetData>
  <mergeCells count="1">
    <mergeCell ref="C1:K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6" width="8.63"/>
  </cols>
  <sheetData>
    <row r="1" ht="14.25" customHeight="1">
      <c r="C1" s="31" t="s">
        <v>478</v>
      </c>
      <c r="D1" s="3"/>
      <c r="E1" s="3"/>
      <c r="F1" s="3"/>
      <c r="G1" s="3"/>
      <c r="H1" s="3"/>
      <c r="I1" s="3"/>
      <c r="J1" s="3"/>
      <c r="K1" s="3"/>
      <c r="L1" s="3"/>
      <c r="M1" s="4"/>
    </row>
    <row r="2" ht="14.25" customHeight="1">
      <c r="A2" s="12" t="s">
        <v>1</v>
      </c>
      <c r="B2" s="1" t="s">
        <v>2</v>
      </c>
      <c r="C2" s="32">
        <v>2013.0</v>
      </c>
      <c r="D2" s="32" t="s">
        <v>479</v>
      </c>
      <c r="E2" s="32" t="s">
        <v>480</v>
      </c>
      <c r="F2" s="32" t="s">
        <v>481</v>
      </c>
      <c r="G2" s="32" t="s">
        <v>482</v>
      </c>
      <c r="H2" s="32" t="s">
        <v>483</v>
      </c>
      <c r="I2" s="32" t="s">
        <v>484</v>
      </c>
      <c r="J2" s="32" t="s">
        <v>485</v>
      </c>
      <c r="K2" s="32" t="s">
        <v>486</v>
      </c>
      <c r="L2" s="32" t="s">
        <v>487</v>
      </c>
      <c r="M2" s="32">
        <v>2023.0</v>
      </c>
    </row>
    <row r="3" ht="14.25" customHeight="1">
      <c r="A3" s="11" t="s">
        <v>3</v>
      </c>
      <c r="B3" s="11" t="s">
        <v>4</v>
      </c>
      <c r="C3" s="33">
        <v>0.5874915181809093</v>
      </c>
      <c r="D3" s="33">
        <v>0.5813770004116902</v>
      </c>
      <c r="E3" s="33">
        <v>0.5763869240079446</v>
      </c>
      <c r="F3" s="33">
        <v>0.5686715876514231</v>
      </c>
      <c r="G3" s="33">
        <v>0.541084568377608</v>
      </c>
      <c r="H3" s="33">
        <v>0.4889991252617588</v>
      </c>
      <c r="I3" s="33">
        <v>0.46478095569658345</v>
      </c>
      <c r="J3" s="33">
        <v>0.4781985724599467</v>
      </c>
      <c r="K3" s="33">
        <v>0.47050941131469626</v>
      </c>
      <c r="L3" s="33">
        <v>0.6982363330320643</v>
      </c>
      <c r="M3" s="33">
        <v>0.9112036337551631</v>
      </c>
    </row>
    <row r="4" ht="14.25" customHeight="1">
      <c r="A4" s="11" t="s">
        <v>5</v>
      </c>
      <c r="B4" s="11" t="s">
        <v>6</v>
      </c>
      <c r="C4" s="33">
        <v>0.20214795420877182</v>
      </c>
      <c r="D4" s="33">
        <v>0.23578954587793957</v>
      </c>
      <c r="E4" s="33">
        <v>0.18742223013235296</v>
      </c>
      <c r="F4" s="33">
        <v>0.1784760737208768</v>
      </c>
      <c r="G4" s="33">
        <v>0.15357494527756826</v>
      </c>
      <c r="H4" s="33">
        <v>0.13433006743860543</v>
      </c>
      <c r="I4" s="33">
        <v>0.11952947242723116</v>
      </c>
      <c r="J4" s="33">
        <v>0.13295151593688437</v>
      </c>
      <c r="K4" s="33">
        <v>0.1297055718073927</v>
      </c>
      <c r="L4" s="33">
        <v>0.11797685203541126</v>
      </c>
      <c r="M4" s="33">
        <v>0.11744369862602223</v>
      </c>
    </row>
    <row r="5" ht="14.25" customHeight="1">
      <c r="A5" s="11" t="s">
        <v>7</v>
      </c>
      <c r="B5" s="11" t="s">
        <v>8</v>
      </c>
      <c r="C5" s="33">
        <v>0.10927359522456905</v>
      </c>
      <c r="D5" s="33">
        <v>0.11197956262492424</v>
      </c>
      <c r="E5" s="33">
        <v>0.12105265180581053</v>
      </c>
      <c r="F5" s="33">
        <v>0.11053519517749785</v>
      </c>
      <c r="G5" s="33">
        <v>0.1284077297345353</v>
      </c>
      <c r="H5" s="33">
        <v>0.12951840021371755</v>
      </c>
      <c r="I5" s="33">
        <v>0.130794110468507</v>
      </c>
      <c r="J5" s="33">
        <v>0.149828771735149</v>
      </c>
      <c r="K5" s="33">
        <v>0.14519905517081877</v>
      </c>
      <c r="L5" s="33">
        <v>0.13299662407697704</v>
      </c>
      <c r="M5" s="33">
        <v>0.12678002780037037</v>
      </c>
    </row>
    <row r="6" ht="14.25" customHeight="1">
      <c r="A6" s="11" t="s">
        <v>9</v>
      </c>
      <c r="B6" s="11" t="s">
        <v>10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</row>
    <row r="7" ht="14.25" customHeight="1">
      <c r="A7" s="11" t="s">
        <v>11</v>
      </c>
      <c r="B7" s="11" t="s">
        <v>12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</row>
    <row r="8" ht="14.25" customHeight="1">
      <c r="A8" s="11" t="s">
        <v>13</v>
      </c>
      <c r="B8" s="11" t="s">
        <v>14</v>
      </c>
      <c r="C8" s="33">
        <v>0.46024591733806614</v>
      </c>
      <c r="D8" s="33">
        <v>0.4620345820792903</v>
      </c>
      <c r="E8" s="33">
        <v>0.4806857725518914</v>
      </c>
      <c r="F8" s="33">
        <v>0.5042539544892807</v>
      </c>
      <c r="G8" s="33">
        <v>0.5267278495938678</v>
      </c>
      <c r="H8" s="33">
        <v>0.5603068214298468</v>
      </c>
      <c r="I8" s="33">
        <v>0.5783822852853945</v>
      </c>
      <c r="J8" s="33">
        <v>0.5992099938660455</v>
      </c>
      <c r="K8" s="33">
        <v>0.6000190092498068</v>
      </c>
      <c r="L8" s="33">
        <v>0.5945691994321859</v>
      </c>
      <c r="M8" s="33">
        <v>0.5989039518197595</v>
      </c>
    </row>
    <row r="9" ht="14.25" customHeight="1">
      <c r="A9" s="11" t="s">
        <v>15</v>
      </c>
      <c r="B9" s="11" t="s">
        <v>16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</row>
    <row r="10" ht="14.25" customHeight="1">
      <c r="A10" s="11" t="s">
        <v>17</v>
      </c>
      <c r="B10" s="11" t="s">
        <v>18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</row>
    <row r="11" ht="14.25" customHeight="1">
      <c r="A11" s="11" t="s">
        <v>19</v>
      </c>
      <c r="B11" s="11" t="s">
        <v>20</v>
      </c>
      <c r="C11" s="33">
        <v>0.07825393172019177</v>
      </c>
      <c r="D11" s="33">
        <v>0.08029334179833472</v>
      </c>
      <c r="E11" s="33">
        <v>0.08299877036246878</v>
      </c>
      <c r="F11" s="33">
        <v>0.08853122055540569</v>
      </c>
      <c r="G11" s="33">
        <v>0.09113151452261925</v>
      </c>
      <c r="H11" s="33">
        <v>0.10149087120769462</v>
      </c>
      <c r="I11" s="33">
        <v>0.10881467931543652</v>
      </c>
      <c r="J11" s="33">
        <v>0.12659719558863103</v>
      </c>
      <c r="K11" s="33">
        <v>0.09625120691946792</v>
      </c>
      <c r="L11" s="33">
        <v>0.07838697875128653</v>
      </c>
      <c r="M11" s="33">
        <v>0.07212619096383799</v>
      </c>
    </row>
    <row r="12" ht="14.25" customHeight="1">
      <c r="A12" s="11" t="s">
        <v>21</v>
      </c>
      <c r="B12" s="11" t="s">
        <v>22</v>
      </c>
      <c r="C12" s="33">
        <v>0.18809108434972824</v>
      </c>
      <c r="D12" s="33">
        <v>0.17973731987035477</v>
      </c>
      <c r="E12" s="33">
        <v>0.1671970794119008</v>
      </c>
      <c r="F12" s="33">
        <v>0.1700253797625819</v>
      </c>
      <c r="G12" s="33">
        <v>0.16100669030009435</v>
      </c>
      <c r="H12" s="33">
        <v>0.17298645351042286</v>
      </c>
      <c r="I12" s="33">
        <v>0.1652795461618991</v>
      </c>
      <c r="J12" s="33">
        <v>0.14493383090704923</v>
      </c>
      <c r="K12" s="33">
        <v>0.13721615339668392</v>
      </c>
      <c r="L12" s="33">
        <v>0.10842102415668027</v>
      </c>
      <c r="M12" s="33">
        <v>0.10509888222657633</v>
      </c>
    </row>
    <row r="13" ht="14.25" customHeight="1">
      <c r="A13" s="11" t="s">
        <v>23</v>
      </c>
      <c r="B13" s="11" t="s">
        <v>24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</row>
    <row r="14" ht="14.25" customHeight="1">
      <c r="A14" s="11" t="s">
        <v>25</v>
      </c>
      <c r="B14" s="11" t="s">
        <v>26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</row>
    <row r="15" ht="14.25" customHeight="1">
      <c r="A15" s="11" t="s">
        <v>27</v>
      </c>
      <c r="B15" s="11" t="s">
        <v>28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</row>
    <row r="16" ht="14.25" customHeight="1">
      <c r="A16" s="11" t="s">
        <v>29</v>
      </c>
      <c r="B16" s="11" t="s">
        <v>30</v>
      </c>
      <c r="C16" s="33">
        <v>0.051596728798845456</v>
      </c>
      <c r="D16" s="33">
        <v>0.050998272654481</v>
      </c>
      <c r="E16" s="33">
        <v>0.05149698775564749</v>
      </c>
      <c r="F16" s="33">
        <v>0.05189635000174779</v>
      </c>
      <c r="G16" s="33">
        <v>0.05189626566917454</v>
      </c>
      <c r="H16" s="33">
        <v>0.050898271435715715</v>
      </c>
      <c r="I16" s="33">
        <v>0.051896286677207</v>
      </c>
      <c r="J16" s="33">
        <v>0.07425149768856398</v>
      </c>
      <c r="K16" s="33">
        <v>0.062275594045425806</v>
      </c>
      <c r="L16" s="33">
        <v>0.058330604490992664</v>
      </c>
      <c r="M16" s="33">
        <v>0.058191989844597426</v>
      </c>
    </row>
    <row r="17" ht="14.25" customHeight="1">
      <c r="A17" s="11" t="s">
        <v>31</v>
      </c>
      <c r="B17" s="11" t="s">
        <v>32</v>
      </c>
      <c r="C17" s="33">
        <v>0.1631343221107561</v>
      </c>
      <c r="D17" s="33">
        <v>0.1395155126568085</v>
      </c>
      <c r="E17" s="33">
        <v>0.1212285138552669</v>
      </c>
      <c r="F17" s="33">
        <v>0.12845140186501086</v>
      </c>
      <c r="G17" s="33">
        <v>0.09946353993744213</v>
      </c>
      <c r="H17" s="33">
        <v>0.10135042087686984</v>
      </c>
      <c r="I17" s="33">
        <v>0.10130755048810121</v>
      </c>
      <c r="J17" s="33">
        <v>0.12915390799302676</v>
      </c>
      <c r="K17" s="33">
        <v>0.1178916785915615</v>
      </c>
      <c r="L17" s="33">
        <v>0.09984190021681058</v>
      </c>
      <c r="M17" s="33">
        <v>0.09312655056119479</v>
      </c>
    </row>
    <row r="18" ht="14.25" customHeight="1">
      <c r="A18" s="11" t="s">
        <v>33</v>
      </c>
      <c r="B18" s="11" t="s">
        <v>34</v>
      </c>
      <c r="C18" s="33">
        <v>0.015244530965712952</v>
      </c>
      <c r="D18" s="33">
        <v>0.015173509648402255</v>
      </c>
      <c r="E18" s="33">
        <v>0.015182959278337774</v>
      </c>
      <c r="F18" s="33">
        <v>0.015432268104484536</v>
      </c>
      <c r="G18" s="33">
        <v>0.01558275861657024</v>
      </c>
      <c r="H18" s="33">
        <v>0.015300952823611432</v>
      </c>
      <c r="I18" s="33">
        <v>0.015292617803712152</v>
      </c>
      <c r="J18" s="33">
        <v>0.020359828761783934</v>
      </c>
      <c r="K18" s="33">
        <v>0.01743466349360189</v>
      </c>
      <c r="L18" s="33">
        <v>0.015487126636933848</v>
      </c>
      <c r="M18" s="33">
        <v>0.013826775962034242</v>
      </c>
    </row>
    <row r="19" ht="14.25" customHeight="1">
      <c r="A19" s="11" t="s">
        <v>35</v>
      </c>
      <c r="B19" s="11" t="s">
        <v>36</v>
      </c>
      <c r="C19" s="33">
        <v>0.5244678627386524</v>
      </c>
      <c r="D19" s="33">
        <v>0.5105647627418656</v>
      </c>
      <c r="E19" s="33">
        <v>0.4999543540238052</v>
      </c>
      <c r="F19" s="33">
        <v>0.48885497100209074</v>
      </c>
      <c r="G19" s="33">
        <v>0.47439203180704687</v>
      </c>
      <c r="H19" s="33">
        <v>0.45995947945326154</v>
      </c>
      <c r="I19" s="33">
        <v>0.4488937398065639</v>
      </c>
      <c r="J19" s="33">
        <v>0.4447947569345472</v>
      </c>
      <c r="K19" s="33">
        <v>0.42919760375691063</v>
      </c>
      <c r="L19" s="33">
        <v>0.3949337680126299</v>
      </c>
      <c r="M19" s="33">
        <v>0.3691942252003765</v>
      </c>
    </row>
    <row r="20" ht="14.25" customHeight="1">
      <c r="A20" s="11" t="s">
        <v>37</v>
      </c>
      <c r="B20" s="11" t="s">
        <v>38</v>
      </c>
      <c r="C20" s="33">
        <v>0.1873399858885193</v>
      </c>
      <c r="D20" s="33">
        <v>0.18750958923216404</v>
      </c>
      <c r="E20" s="33">
        <v>0.16407926989710422</v>
      </c>
      <c r="F20" s="33">
        <v>0.1530271848055634</v>
      </c>
      <c r="G20" s="33">
        <v>0.15392197516093728</v>
      </c>
      <c r="H20" s="33">
        <v>0.14917830731306492</v>
      </c>
      <c r="I20" s="33">
        <v>0.14896782851143417</v>
      </c>
      <c r="J20" s="33">
        <v>0.17030094363682735</v>
      </c>
      <c r="K20" s="33">
        <v>0.16044014615433166</v>
      </c>
      <c r="L20" s="33">
        <v>0.148759591232839</v>
      </c>
      <c r="M20" s="33">
        <v>0.14145257831622685</v>
      </c>
    </row>
    <row r="21" ht="14.25" customHeight="1">
      <c r="A21" s="11" t="s">
        <v>39</v>
      </c>
      <c r="B21" s="11" t="s">
        <v>40</v>
      </c>
      <c r="C21" s="33">
        <v>0.06063282040862305</v>
      </c>
      <c r="D21" s="33">
        <v>0.06024432632902234</v>
      </c>
      <c r="E21" s="33">
        <v>0.060261952040119554</v>
      </c>
      <c r="F21" s="33">
        <v>0.05960116343029664</v>
      </c>
      <c r="G21" s="33">
        <v>0.057834660182737335</v>
      </c>
      <c r="H21" s="33">
        <v>0.04883866182016982</v>
      </c>
      <c r="I21" s="33">
        <v>0.04267585431162533</v>
      </c>
      <c r="J21" s="33">
        <v>0.04169586727793815</v>
      </c>
      <c r="K21" s="33">
        <v>0.04091804635008075</v>
      </c>
      <c r="L21" s="33">
        <v>0.037054631000322115</v>
      </c>
      <c r="M21" s="33">
        <v>0.037052504826535236</v>
      </c>
    </row>
    <row r="22" ht="14.25" customHeight="1">
      <c r="A22" s="11" t="s">
        <v>41</v>
      </c>
      <c r="B22" s="11" t="s">
        <v>42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ht="14.25" customHeight="1">
      <c r="A23" s="11" t="s">
        <v>43</v>
      </c>
      <c r="B23" s="11" t="s">
        <v>44</v>
      </c>
      <c r="C23" s="33">
        <v>0.3760417099990293</v>
      </c>
      <c r="D23" s="33">
        <v>0.36958018349595545</v>
      </c>
      <c r="E23" s="33">
        <v>0.3625216010610824</v>
      </c>
      <c r="F23" s="33">
        <v>0.3635564030015992</v>
      </c>
      <c r="G23" s="33">
        <v>0.37164840568759033</v>
      </c>
      <c r="H23" s="33">
        <v>0.3803359730096996</v>
      </c>
      <c r="I23" s="33">
        <v>0.37421199825779977</v>
      </c>
      <c r="J23" s="33">
        <v>0.44462402966052605</v>
      </c>
      <c r="K23" s="33">
        <v>0.39405994151223</v>
      </c>
      <c r="L23" s="33">
        <v>0.364085827448141</v>
      </c>
      <c r="M23" s="33">
        <v>0.32828070249281827</v>
      </c>
    </row>
    <row r="24" ht="14.25" customHeight="1">
      <c r="A24" s="11" t="s">
        <v>45</v>
      </c>
      <c r="B24" s="11" t="s">
        <v>46</v>
      </c>
      <c r="C24" s="33">
        <v>0.7382924823810622</v>
      </c>
      <c r="D24" s="33">
        <v>0.7244306812094897</v>
      </c>
      <c r="E24" s="33">
        <v>0.7387490794121145</v>
      </c>
      <c r="F24" s="33">
        <v>0.7191730735494892</v>
      </c>
      <c r="G24" s="33">
        <v>0.640921655852917</v>
      </c>
      <c r="H24" s="33">
        <v>0.5353325501128151</v>
      </c>
      <c r="I24" s="33">
        <v>0.4697661921890849</v>
      </c>
      <c r="J24" s="33">
        <v>0.468521461401505</v>
      </c>
      <c r="K24" s="33">
        <v>0.44800198756369297</v>
      </c>
      <c r="L24" s="33">
        <v>0.438063140303516</v>
      </c>
      <c r="M24" s="33">
        <v>0.42626803627792503</v>
      </c>
    </row>
    <row r="25" ht="14.25" customHeight="1">
      <c r="A25" s="11" t="s">
        <v>47</v>
      </c>
      <c r="B25" s="11" t="s">
        <v>48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</row>
    <row r="26" ht="14.25" customHeight="1">
      <c r="A26" s="11" t="s">
        <v>49</v>
      </c>
      <c r="B26" s="11" t="s">
        <v>50</v>
      </c>
      <c r="C26" s="33">
        <v>0.13150044367644312</v>
      </c>
      <c r="D26" s="33">
        <v>0.13671472708547888</v>
      </c>
      <c r="E26" s="33">
        <v>0.12941647102795006</v>
      </c>
      <c r="F26" s="33">
        <v>0.13404695993339996</v>
      </c>
      <c r="G26" s="33">
        <v>0.13408514541628447</v>
      </c>
      <c r="H26" s="33">
        <v>0.05694803523262711</v>
      </c>
      <c r="I26" s="33">
        <v>0.07791955135105691</v>
      </c>
      <c r="J26" s="33">
        <v>0.1016003813164902</v>
      </c>
      <c r="K26" s="33">
        <v>0.07321360962869895</v>
      </c>
      <c r="L26" s="33">
        <v>0.0924263592284302</v>
      </c>
      <c r="M26" s="33">
        <v>0.08899329046556997</v>
      </c>
    </row>
    <row r="27" ht="14.25" customHeight="1">
      <c r="A27" s="11" t="s">
        <v>51</v>
      </c>
      <c r="B27" s="11" t="s">
        <v>52</v>
      </c>
      <c r="C27" s="33">
        <v>0.10739176644122173</v>
      </c>
      <c r="D27" s="33">
        <v>0.10406130176597536</v>
      </c>
      <c r="E27" s="33">
        <v>0.10720304812710706</v>
      </c>
      <c r="F27" s="33">
        <v>0.1302976327742649</v>
      </c>
      <c r="G27" s="33">
        <v>0.12450324885800004</v>
      </c>
      <c r="H27" s="33">
        <v>0.11224855934929949</v>
      </c>
      <c r="I27" s="33">
        <v>0.09483477398178346</v>
      </c>
      <c r="J27" s="33">
        <v>0.13985148037622072</v>
      </c>
      <c r="K27" s="33">
        <v>0.10694326061334497</v>
      </c>
      <c r="L27" s="33">
        <v>0.0880093217004898</v>
      </c>
      <c r="M27" s="33">
        <v>0.08161024948059291</v>
      </c>
    </row>
    <row r="28" ht="14.25" customHeight="1">
      <c r="A28" s="11" t="s">
        <v>53</v>
      </c>
      <c r="B28" s="11" t="s">
        <v>54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</row>
    <row r="29" ht="14.25" customHeight="1">
      <c r="A29" s="11" t="s">
        <v>55</v>
      </c>
      <c r="B29" s="11" t="s">
        <v>56</v>
      </c>
      <c r="C29" s="33">
        <v>0.28126095328760903</v>
      </c>
      <c r="D29" s="33">
        <v>0.2806717817537462</v>
      </c>
      <c r="E29" s="33">
        <v>0.2819474651145674</v>
      </c>
      <c r="F29" s="33">
        <v>0.2582356352304777</v>
      </c>
      <c r="G29" s="33">
        <v>0.2091484933356229</v>
      </c>
      <c r="H29" s="33">
        <v>0.1873001078618917</v>
      </c>
      <c r="I29" s="33">
        <v>0.15991205907749795</v>
      </c>
      <c r="J29" s="33">
        <v>0.16166648123634345</v>
      </c>
      <c r="K29" s="33">
        <v>0.15175040080701818</v>
      </c>
      <c r="L29" s="33">
        <v>0.12954022672362503</v>
      </c>
      <c r="M29" s="33">
        <v>0.10700598220464005</v>
      </c>
    </row>
    <row r="30" ht="14.25" customHeight="1">
      <c r="A30" s="11" t="s">
        <v>57</v>
      </c>
      <c r="B30" s="11" t="s">
        <v>58</v>
      </c>
      <c r="C30" s="33">
        <v>0.41224044781075714</v>
      </c>
      <c r="D30" s="33">
        <v>0.41027325290334654</v>
      </c>
      <c r="E30" s="33">
        <v>0.45012449532168675</v>
      </c>
      <c r="F30" s="33">
        <v>0.44306535531420344</v>
      </c>
      <c r="G30" s="33">
        <v>0.4381068969417549</v>
      </c>
      <c r="H30" s="33">
        <v>0.4294861415580676</v>
      </c>
      <c r="I30" s="33">
        <v>0.42910397594631916</v>
      </c>
      <c r="J30" s="33">
        <v>0.4611680779612403</v>
      </c>
      <c r="K30" s="33">
        <v>0.4473401324774284</v>
      </c>
      <c r="L30" s="33">
        <v>0.44409176127259337</v>
      </c>
      <c r="M30" s="33">
        <v>0.4365380655403494</v>
      </c>
    </row>
    <row r="31" ht="14.25" customHeight="1">
      <c r="A31" s="11" t="s">
        <v>59</v>
      </c>
      <c r="B31" s="11" t="s">
        <v>60</v>
      </c>
      <c r="C31" s="33">
        <v>0.11004143937433429</v>
      </c>
      <c r="D31" s="33">
        <v>0.10016490488452116</v>
      </c>
      <c r="E31" s="33">
        <v>0.12279859106201431</v>
      </c>
      <c r="F31" s="33">
        <v>0.16148244419847252</v>
      </c>
      <c r="G31" s="33">
        <v>0.17593262137614749</v>
      </c>
      <c r="H31" s="33">
        <v>0.17115787611773392</v>
      </c>
      <c r="I31" s="33">
        <v>0.1670259611274202</v>
      </c>
      <c r="J31" s="33">
        <v>0.1862809768400562</v>
      </c>
      <c r="K31" s="33">
        <v>0.18156303121407139</v>
      </c>
      <c r="L31" s="33">
        <v>0.1437238096208422</v>
      </c>
      <c r="M31" s="33">
        <v>0.12952283822993754</v>
      </c>
    </row>
    <row r="32" ht="14.25" customHeight="1">
      <c r="A32" s="11" t="s">
        <v>61</v>
      </c>
      <c r="B32" s="11" t="s">
        <v>62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</row>
    <row r="33" ht="14.25" customHeight="1">
      <c r="A33" s="11" t="s">
        <v>63</v>
      </c>
      <c r="B33" s="11" t="s">
        <v>64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</row>
    <row r="34" ht="14.25" customHeight="1">
      <c r="A34" s="11" t="s">
        <v>65</v>
      </c>
      <c r="B34" s="11" t="s">
        <v>66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</row>
    <row r="35" ht="14.25" customHeight="1">
      <c r="A35" s="11" t="s">
        <v>67</v>
      </c>
      <c r="B35" s="11" t="s">
        <v>68</v>
      </c>
      <c r="C35" s="33">
        <v>0.7278252801921048</v>
      </c>
      <c r="D35" s="33">
        <v>0.7211057676062436</v>
      </c>
      <c r="E35" s="33">
        <v>0.7162260155307043</v>
      </c>
      <c r="F35" s="33">
        <v>0.6849337339193228</v>
      </c>
      <c r="G35" s="33">
        <v>0.6543374479605043</v>
      </c>
      <c r="H35" s="33">
        <v>0.6210064776063515</v>
      </c>
      <c r="I35" s="33">
        <v>0.6030894170128851</v>
      </c>
      <c r="J35" s="33">
        <v>0.6059127370019046</v>
      </c>
      <c r="K35" s="33">
        <v>0.5882073184413137</v>
      </c>
      <c r="L35" s="33">
        <v>0.5997999215152456</v>
      </c>
      <c r="M35" s="33">
        <v>0.5935231425098453</v>
      </c>
    </row>
    <row r="36" ht="14.25" customHeight="1">
      <c r="A36" s="11" t="s">
        <v>69</v>
      </c>
      <c r="B36" s="11" t="s">
        <v>70</v>
      </c>
      <c r="C36" s="33">
        <v>0.8644922808905096</v>
      </c>
      <c r="D36" s="33">
        <v>0.8572481254113692</v>
      </c>
      <c r="E36" s="33">
        <v>0.8701564119440723</v>
      </c>
      <c r="F36" s="33">
        <v>0.8746643579485109</v>
      </c>
      <c r="G36" s="33">
        <v>0.8779688136112834</v>
      </c>
      <c r="H36" s="33">
        <v>0.8817707012892292</v>
      </c>
      <c r="I36" s="33">
        <v>0.8839817100450962</v>
      </c>
      <c r="J36" s="33">
        <v>0.8887299555381836</v>
      </c>
      <c r="K36" s="33">
        <v>0.8871065121742157</v>
      </c>
      <c r="L36" s="33">
        <v>0.8897878364089714</v>
      </c>
      <c r="M36" s="33">
        <v>0.8902956115588415</v>
      </c>
    </row>
    <row r="37" ht="14.25" customHeight="1">
      <c r="A37" s="11" t="s">
        <v>71</v>
      </c>
      <c r="B37" s="11" t="s">
        <v>72</v>
      </c>
      <c r="C37" s="33">
        <v>0.2576881862650592</v>
      </c>
      <c r="D37" s="33">
        <v>0.24978347555801758</v>
      </c>
      <c r="E37" s="33">
        <v>0.24147126595496793</v>
      </c>
      <c r="F37" s="33">
        <v>0.2317926280176032</v>
      </c>
      <c r="G37" s="33">
        <v>0.2202081501148285</v>
      </c>
      <c r="H37" s="33">
        <v>0.2110969387755102</v>
      </c>
      <c r="I37" s="33">
        <v>0.19739666533546327</v>
      </c>
      <c r="J37" s="33">
        <v>0.23897498044675933</v>
      </c>
      <c r="K37" s="33">
        <v>0.2203462913502516</v>
      </c>
      <c r="L37" s="33">
        <v>0.18895105283847477</v>
      </c>
      <c r="M37" s="33">
        <v>0.18140341059242332</v>
      </c>
    </row>
    <row r="38" ht="14.25" customHeight="1">
      <c r="A38" s="11" t="s">
        <v>73</v>
      </c>
      <c r="B38" s="11" t="s">
        <v>74</v>
      </c>
      <c r="C38" s="33">
        <v>0.7373489002549418</v>
      </c>
      <c r="D38" s="33">
        <v>0.6998620281187943</v>
      </c>
      <c r="E38" s="33">
        <v>0.6593654477089198</v>
      </c>
      <c r="F38" s="33">
        <v>0.6050621774738791</v>
      </c>
      <c r="G38" s="33">
        <v>0.595094680880891</v>
      </c>
      <c r="H38" s="33">
        <v>0.5867884932368678</v>
      </c>
      <c r="I38" s="33">
        <v>0.5795966482842883</v>
      </c>
      <c r="J38" s="33">
        <v>0.5450958268846398</v>
      </c>
      <c r="K38" s="33">
        <v>0.5370940037984095</v>
      </c>
      <c r="L38" s="33">
        <v>0.5376273092202757</v>
      </c>
      <c r="M38" s="33">
        <v>0.5417706337032713</v>
      </c>
    </row>
    <row r="39" ht="14.25" customHeight="1">
      <c r="A39" s="11" t="s">
        <v>75</v>
      </c>
      <c r="B39" s="11" t="s">
        <v>76</v>
      </c>
      <c r="C39" s="33">
        <v>0.4929638060951396</v>
      </c>
      <c r="D39" s="33">
        <v>0.44960040850723804</v>
      </c>
      <c r="E39" s="33">
        <v>0.4389718418722165</v>
      </c>
      <c r="F39" s="33">
        <v>0.43317782243830255</v>
      </c>
      <c r="G39" s="33">
        <v>0.4303014623264383</v>
      </c>
      <c r="H39" s="33">
        <v>0.4257097335385341</v>
      </c>
      <c r="I39" s="33">
        <v>0.4230198764720253</v>
      </c>
      <c r="J39" s="33">
        <v>0.4287275037467751</v>
      </c>
      <c r="K39" s="33">
        <v>0.4267163046531874</v>
      </c>
      <c r="L39" s="33">
        <v>0.42404981668626424</v>
      </c>
      <c r="M39" s="33">
        <v>0.4204896106237337</v>
      </c>
    </row>
    <row r="40" ht="14.25" customHeight="1">
      <c r="A40" s="11" t="s">
        <v>77</v>
      </c>
      <c r="B40" s="11" t="s">
        <v>78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</row>
    <row r="41" ht="14.25" customHeight="1">
      <c r="A41" s="11" t="s">
        <v>79</v>
      </c>
      <c r="B41" s="11" t="s">
        <v>80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</row>
    <row r="42" ht="14.25" customHeight="1">
      <c r="A42" s="11" t="s">
        <v>81</v>
      </c>
      <c r="B42" s="11" t="s">
        <v>82</v>
      </c>
      <c r="C42" s="33">
        <v>0.8915846012604307</v>
      </c>
      <c r="D42" s="33">
        <v>0.8921113412050478</v>
      </c>
      <c r="E42" s="33">
        <v>0.885311999963439</v>
      </c>
      <c r="F42" s="33">
        <v>0.8777967898107479</v>
      </c>
      <c r="G42" s="33">
        <v>0.8778913154176301</v>
      </c>
      <c r="H42" s="33">
        <v>0.8706788968601912</v>
      </c>
      <c r="I42" s="33">
        <v>0.8651489726488657</v>
      </c>
      <c r="J42" s="33">
        <v>0.870955468613308</v>
      </c>
      <c r="K42" s="33">
        <v>0.8722437328231525</v>
      </c>
      <c r="L42" s="33">
        <v>0.8757302612409953</v>
      </c>
      <c r="M42" s="33">
        <v>0.8785018348181216</v>
      </c>
    </row>
    <row r="43" ht="14.25" customHeight="1">
      <c r="A43" s="11" t="s">
        <v>83</v>
      </c>
      <c r="B43" s="11" t="s">
        <v>84</v>
      </c>
      <c r="C43" s="33">
        <v>0.5925008227254103</v>
      </c>
      <c r="D43" s="33">
        <v>0.5636549436418569</v>
      </c>
      <c r="E43" s="33">
        <v>0.5593662164194177</v>
      </c>
      <c r="F43" s="33">
        <v>0.6083106557234519</v>
      </c>
      <c r="G43" s="33">
        <v>0.6399376918561368</v>
      </c>
      <c r="H43" s="33">
        <v>0.6394913058288045</v>
      </c>
      <c r="I43" s="33">
        <v>0.6380629808918413</v>
      </c>
      <c r="J43" s="33">
        <v>0.65830644508459</v>
      </c>
      <c r="K43" s="33">
        <v>0.6719169232613329</v>
      </c>
      <c r="L43" s="33">
        <v>0.6732916766774254</v>
      </c>
      <c r="M43" s="33">
        <v>0.6738690813872863</v>
      </c>
    </row>
    <row r="44" ht="14.25" customHeight="1">
      <c r="A44" s="11" t="s">
        <v>85</v>
      </c>
      <c r="B44" s="11" t="s">
        <v>86</v>
      </c>
      <c r="C44" s="33">
        <v>0.07111639458206107</v>
      </c>
      <c r="D44" s="33">
        <v>0.0742935337769855</v>
      </c>
      <c r="E44" s="33">
        <v>0.07199297137535177</v>
      </c>
      <c r="F44" s="33">
        <v>0.0739175444134524</v>
      </c>
      <c r="G44" s="33">
        <v>0.0767490937149925</v>
      </c>
      <c r="H44" s="33">
        <v>0.0806505096014719</v>
      </c>
      <c r="I44" s="33">
        <v>0.08020002852092935</v>
      </c>
      <c r="J44" s="33">
        <v>0.11593449476360035</v>
      </c>
      <c r="K44" s="33">
        <v>0.09763225250842665</v>
      </c>
      <c r="L44" s="33">
        <v>0.08801440586153497</v>
      </c>
      <c r="M44" s="33">
        <v>0.09535326345513732</v>
      </c>
    </row>
    <row r="45" ht="14.25" customHeight="1">
      <c r="A45" s="11" t="s">
        <v>87</v>
      </c>
      <c r="B45" s="11" t="s">
        <v>88</v>
      </c>
      <c r="C45" s="33">
        <v>0.0355370149353619</v>
      </c>
      <c r="D45" s="33">
        <v>0.034661719471436196</v>
      </c>
      <c r="E45" s="33">
        <v>0.03449316512513602</v>
      </c>
      <c r="F45" s="33">
        <v>0.03552472676883655</v>
      </c>
      <c r="G45" s="33">
        <v>0.03281002932310529</v>
      </c>
      <c r="H45" s="33">
        <v>0.02950965787079208</v>
      </c>
      <c r="I45" s="33">
        <v>0.030463583123747362</v>
      </c>
      <c r="J45" s="33">
        <v>0.059280683605507145</v>
      </c>
      <c r="K45" s="33">
        <v>0.05276244019793687</v>
      </c>
      <c r="L45" s="33">
        <v>0.04439406987194299</v>
      </c>
      <c r="M45" s="33">
        <v>0.04052360421121722</v>
      </c>
    </row>
    <row r="46" ht="14.25" customHeight="1">
      <c r="A46" s="11" t="s">
        <v>488</v>
      </c>
      <c r="B46" s="11" t="s">
        <v>90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</row>
    <row r="47" ht="14.25" customHeight="1">
      <c r="A47" s="11" t="s">
        <v>489</v>
      </c>
      <c r="B47" s="11" t="s">
        <v>92</v>
      </c>
      <c r="C47" s="33">
        <v>0.20361651369538275</v>
      </c>
      <c r="D47" s="33">
        <v>0.1774036797931007</v>
      </c>
      <c r="E47" s="33">
        <v>0.15241772645348015</v>
      </c>
      <c r="F47" s="33">
        <v>0.13040036981725345</v>
      </c>
      <c r="G47" s="33">
        <v>0.11897429979096687</v>
      </c>
      <c r="H47" s="33">
        <v>0.09695692978197054</v>
      </c>
      <c r="I47" s="33">
        <v>0.07823223435105121</v>
      </c>
      <c r="J47" s="33">
        <v>0.07178255881719874</v>
      </c>
      <c r="K47" s="33">
        <v>0.06052728559613226</v>
      </c>
      <c r="L47" s="33">
        <v>0.06915286522622162</v>
      </c>
      <c r="M47" s="33">
        <v>0.06487498823580519</v>
      </c>
    </row>
    <row r="48" ht="14.25" customHeight="1">
      <c r="A48" s="11" t="s">
        <v>490</v>
      </c>
      <c r="B48" s="11" t="s">
        <v>473</v>
      </c>
      <c r="C48" s="33">
        <v>0.04366182000331541</v>
      </c>
      <c r="D48" s="33">
        <v>0.04151427819251131</v>
      </c>
      <c r="E48" s="33">
        <v>0.03970585379464426</v>
      </c>
      <c r="F48" s="33">
        <v>0.04103134924304784</v>
      </c>
      <c r="G48" s="33">
        <v>0.03945435496489913</v>
      </c>
      <c r="H48" s="33">
        <v>0.03905194042195023</v>
      </c>
      <c r="I48" s="33">
        <v>0.03926159709577695</v>
      </c>
      <c r="J48" s="33">
        <v>0.04036934772036845</v>
      </c>
      <c r="K48" s="33">
        <v>0.040376420569359354</v>
      </c>
      <c r="L48" s="33">
        <v>0.038116713038269155</v>
      </c>
      <c r="M48" s="33">
        <v>0.03914011032207757</v>
      </c>
    </row>
    <row r="49" ht="14.25" customHeight="1">
      <c r="A49" s="11" t="s">
        <v>93</v>
      </c>
      <c r="B49" s="11" t="s">
        <v>94</v>
      </c>
      <c r="C49" s="33">
        <v>0.18547227562061216</v>
      </c>
      <c r="D49" s="33">
        <v>0.172703339886304</v>
      </c>
      <c r="E49" s="33">
        <v>0.1603912393629066</v>
      </c>
      <c r="F49" s="33">
        <v>0.16251044414664112</v>
      </c>
      <c r="G49" s="33">
        <v>0.15723951989176127</v>
      </c>
      <c r="H49" s="33">
        <v>0.16132799401583742</v>
      </c>
      <c r="I49" s="33">
        <v>0.17999858413009254</v>
      </c>
      <c r="J49" s="33">
        <v>0.272227113766842</v>
      </c>
      <c r="K49" s="33">
        <v>0.23017249862788286</v>
      </c>
      <c r="L49" s="33">
        <v>0.18671938398146778</v>
      </c>
      <c r="M49" s="33">
        <v>0.17650220639294986</v>
      </c>
    </row>
    <row r="50" ht="14.25" customHeight="1">
      <c r="A50" s="11" t="s">
        <v>95</v>
      </c>
      <c r="B50" s="11" t="s">
        <v>96</v>
      </c>
      <c r="C50" s="33">
        <v>0.35879144851657935</v>
      </c>
      <c r="D50" s="33">
        <v>0.3658372243600204</v>
      </c>
      <c r="E50" s="33">
        <v>0.3696710172055694</v>
      </c>
      <c r="F50" s="33">
        <v>0.3667934182452318</v>
      </c>
      <c r="G50" s="33">
        <v>0.3597888759890341</v>
      </c>
      <c r="H50" s="33">
        <v>0.35374279588786656</v>
      </c>
      <c r="I50" s="33">
        <v>0.3543183647492653</v>
      </c>
      <c r="J50" s="33">
        <v>0.36251264498427166</v>
      </c>
      <c r="K50" s="33">
        <v>0.3611788535729844</v>
      </c>
      <c r="L50" s="33">
        <v>0.3599763949904925</v>
      </c>
      <c r="M50" s="33">
        <v>0.3586802593414093</v>
      </c>
    </row>
    <row r="51" ht="14.25" customHeight="1">
      <c r="A51" s="11" t="s">
        <v>97</v>
      </c>
      <c r="B51" s="11" t="s">
        <v>98</v>
      </c>
      <c r="C51" s="33">
        <v>0.6584067156894645</v>
      </c>
      <c r="D51" s="33">
        <v>0.6419404046867715</v>
      </c>
      <c r="E51" s="33">
        <v>0.6675878940511767</v>
      </c>
      <c r="F51" s="33">
        <v>0.7180928750476305</v>
      </c>
      <c r="G51" s="33">
        <v>0.7423835717115576</v>
      </c>
      <c r="H51" s="33">
        <v>0.7636793452930799</v>
      </c>
      <c r="I51" s="33">
        <v>0.7709901097884989</v>
      </c>
      <c r="J51" s="33">
        <v>0.781021111396419</v>
      </c>
      <c r="K51" s="33">
        <v>0.7899990633959527</v>
      </c>
      <c r="L51" s="33">
        <v>0.7871712437216227</v>
      </c>
      <c r="M51" s="33">
        <v>0.7881938349618708</v>
      </c>
    </row>
    <row r="52" ht="14.25" customHeight="1">
      <c r="A52" s="11" t="s">
        <v>99</v>
      </c>
      <c r="B52" s="11" t="s">
        <v>100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</row>
    <row r="53" ht="14.25" customHeight="1">
      <c r="A53" s="11" t="s">
        <v>101</v>
      </c>
      <c r="B53" s="11" t="s">
        <v>102</v>
      </c>
      <c r="C53" s="33">
        <v>0.09910249893460257</v>
      </c>
      <c r="D53" s="33">
        <v>0.10354049365241408</v>
      </c>
      <c r="E53" s="33">
        <v>0.10317584023789708</v>
      </c>
      <c r="F53" s="33">
        <v>0.09562085246963957</v>
      </c>
      <c r="G53" s="33">
        <v>0.08844547675083846</v>
      </c>
      <c r="H53" s="33">
        <v>0.10506273020725769</v>
      </c>
      <c r="I53" s="33">
        <v>0.12016441842055253</v>
      </c>
      <c r="J53" s="33">
        <v>0.18932106022464154</v>
      </c>
      <c r="K53" s="33">
        <v>0.16373482113554316</v>
      </c>
      <c r="L53" s="33">
        <v>0.12610377826382282</v>
      </c>
      <c r="M53" s="33">
        <v>0.0949386094726782</v>
      </c>
    </row>
    <row r="54" ht="14.25" customHeight="1">
      <c r="A54" s="11" t="s">
        <v>491</v>
      </c>
      <c r="B54" s="11" t="s">
        <v>104</v>
      </c>
      <c r="C54" s="33">
        <v>0.6528498559880732</v>
      </c>
      <c r="D54" s="33">
        <v>0.6312592475824275</v>
      </c>
      <c r="E54" s="33">
        <v>0.6231660254957544</v>
      </c>
      <c r="F54" s="33">
        <v>0.544358315581497</v>
      </c>
      <c r="G54" s="33">
        <v>0.4706694534169357</v>
      </c>
      <c r="H54" s="33">
        <v>0.42658822096480803</v>
      </c>
      <c r="I54" s="33">
        <v>0.38434881827298695</v>
      </c>
      <c r="J54" s="33">
        <v>0.3865819461305954</v>
      </c>
      <c r="K54" s="33">
        <v>0.3671116795143621</v>
      </c>
      <c r="L54" s="33">
        <v>0.3562346380057423</v>
      </c>
      <c r="M54" s="33">
        <v>0.344285738542657</v>
      </c>
    </row>
    <row r="55" ht="14.25" customHeight="1">
      <c r="A55" s="11" t="s">
        <v>105</v>
      </c>
      <c r="B55" s="11" t="s">
        <v>106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</row>
    <row r="56" ht="14.25" customHeight="1">
      <c r="A56" s="11" t="s">
        <v>107</v>
      </c>
      <c r="B56" s="11" t="s">
        <v>108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</row>
    <row r="57" ht="14.25" customHeight="1">
      <c r="A57" s="11" t="s">
        <v>109</v>
      </c>
      <c r="B57" s="11" t="s">
        <v>110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</row>
    <row r="58" ht="14.25" customHeight="1">
      <c r="A58" s="11" t="s">
        <v>111</v>
      </c>
      <c r="B58" s="11" t="s">
        <v>112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</row>
    <row r="59" ht="14.25" customHeight="1">
      <c r="A59" s="11" t="s">
        <v>113</v>
      </c>
      <c r="B59" s="11" t="s">
        <v>114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</row>
    <row r="60" ht="14.25" customHeight="1">
      <c r="A60" s="11" t="s">
        <v>492</v>
      </c>
      <c r="B60" s="11" t="s">
        <v>116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</row>
    <row r="61" ht="14.25" customHeight="1">
      <c r="A61" s="11" t="s">
        <v>493</v>
      </c>
      <c r="B61" s="11" t="s">
        <v>118</v>
      </c>
      <c r="C61" s="33">
        <v>0.8626384305849801</v>
      </c>
      <c r="D61" s="33">
        <v>0.8478110623260992</v>
      </c>
      <c r="E61" s="33">
        <v>0.8399804083319472</v>
      </c>
      <c r="F61" s="33">
        <v>0.8435501147454575</v>
      </c>
      <c r="G61" s="33">
        <v>0.8436175166533766</v>
      </c>
      <c r="H61" s="33">
        <v>0.8371912506173732</v>
      </c>
      <c r="I61" s="33">
        <v>0.8350577009692168</v>
      </c>
      <c r="J61" s="33">
        <v>0.838662530214715</v>
      </c>
      <c r="K61" s="33">
        <v>0.8313590310924075</v>
      </c>
      <c r="L61" s="33">
        <v>0.8220508728679847</v>
      </c>
      <c r="M61" s="33">
        <v>0.8166023059258467</v>
      </c>
    </row>
    <row r="62" ht="14.25" customHeight="1">
      <c r="A62" s="11" t="s">
        <v>119</v>
      </c>
      <c r="B62" s="11" t="s">
        <v>120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</row>
    <row r="63" ht="14.25" customHeight="1">
      <c r="A63" s="11" t="s">
        <v>121</v>
      </c>
      <c r="B63" s="11" t="s">
        <v>122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</row>
    <row r="64" ht="14.25" customHeight="1">
      <c r="A64" s="11" t="s">
        <v>123</v>
      </c>
      <c r="B64" s="11" t="s">
        <v>124</v>
      </c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</row>
    <row r="65" ht="14.25" customHeight="1">
      <c r="A65" s="11" t="s">
        <v>125</v>
      </c>
      <c r="B65" s="11" t="s">
        <v>126</v>
      </c>
      <c r="C65" s="33">
        <v>0.17089125140811623</v>
      </c>
      <c r="D65" s="33">
        <v>0.14309277225483988</v>
      </c>
      <c r="E65" s="33">
        <v>0.13533507521272145</v>
      </c>
      <c r="F65" s="33">
        <v>0.12588074758760098</v>
      </c>
      <c r="G65" s="33">
        <v>0.09123657669820864</v>
      </c>
      <c r="H65" s="33">
        <v>0.08305636388300795</v>
      </c>
      <c r="I65" s="33">
        <v>0.08238837126079224</v>
      </c>
      <c r="J65" s="33">
        <v>0.09168780273410675</v>
      </c>
      <c r="K65" s="33">
        <v>0.10178918515022192</v>
      </c>
      <c r="L65" s="33">
        <v>0.07996319763895965</v>
      </c>
      <c r="M65" s="33">
        <v>0.07976714980328603</v>
      </c>
    </row>
    <row r="66" ht="14.25" customHeight="1">
      <c r="A66" s="11" t="s">
        <v>127</v>
      </c>
      <c r="B66" s="11" t="s">
        <v>128</v>
      </c>
      <c r="C66" s="33">
        <v>0.11786671224500184</v>
      </c>
      <c r="D66" s="33">
        <v>0.10396347928429026</v>
      </c>
      <c r="E66" s="33">
        <v>0.11920486549930716</v>
      </c>
      <c r="F66" s="33">
        <v>0.1310155569050578</v>
      </c>
      <c r="G66" s="33">
        <v>0.11970276970145728</v>
      </c>
      <c r="H66" s="33">
        <v>0.12378089699920496</v>
      </c>
      <c r="I66" s="33">
        <v>0.12845139601021394</v>
      </c>
      <c r="J66" s="33">
        <v>0.18444612399678426</v>
      </c>
      <c r="K66" s="33">
        <v>0.14540472623179193</v>
      </c>
      <c r="L66" s="33">
        <v>0.12237812304347065</v>
      </c>
      <c r="M66" s="33">
        <v>0.117721307187661</v>
      </c>
    </row>
    <row r="67" ht="14.25" customHeight="1">
      <c r="A67" s="11" t="s">
        <v>129</v>
      </c>
      <c r="B67" s="11" t="s">
        <v>130</v>
      </c>
      <c r="C67" s="33">
        <v>0.23128768797893665</v>
      </c>
      <c r="D67" s="33">
        <v>0.23017699674785436</v>
      </c>
      <c r="E67" s="33">
        <v>0.22669708553147952</v>
      </c>
      <c r="F67" s="33">
        <v>0.23811685844053057</v>
      </c>
      <c r="G67" s="33">
        <v>0.257098919222367</v>
      </c>
      <c r="H67" s="33">
        <v>0.26438060245098133</v>
      </c>
      <c r="I67" s="33">
        <v>0.22879848395726202</v>
      </c>
      <c r="J67" s="33">
        <v>0.22698896762311666</v>
      </c>
      <c r="K67" s="33">
        <v>0.20977326673444596</v>
      </c>
      <c r="L67" s="33">
        <v>0.19831018118000693</v>
      </c>
      <c r="M67" s="33">
        <v>0.19074702687678616</v>
      </c>
    </row>
    <row r="68" ht="14.25" customHeight="1">
      <c r="A68" s="11" t="s">
        <v>131</v>
      </c>
      <c r="B68" s="11" t="s">
        <v>132</v>
      </c>
      <c r="C68" s="33">
        <v>0.13943899627064385</v>
      </c>
      <c r="D68" s="33">
        <v>0.1378491380512573</v>
      </c>
      <c r="E68" s="33">
        <v>0.11772486216754544</v>
      </c>
      <c r="F68" s="33">
        <v>0.12592278373858198</v>
      </c>
      <c r="G68" s="33">
        <v>0.10641183182329372</v>
      </c>
      <c r="H68" s="33">
        <v>0.09680621015928491</v>
      </c>
      <c r="I68" s="33">
        <v>0.07978461307867676</v>
      </c>
      <c r="J68" s="33">
        <v>0.11384931857527121</v>
      </c>
      <c r="K68" s="33">
        <v>0.09753683195527618</v>
      </c>
      <c r="L68" s="33">
        <v>0.08656243661984252</v>
      </c>
      <c r="M68" s="33">
        <v>0.08276279410699057</v>
      </c>
    </row>
    <row r="69" ht="14.25" customHeight="1">
      <c r="A69" s="11" t="s">
        <v>133</v>
      </c>
      <c r="B69" s="11" t="s">
        <v>134</v>
      </c>
      <c r="C69" s="33">
        <v>0.6628841563260612</v>
      </c>
      <c r="D69" s="33">
        <v>0.6533915429374674</v>
      </c>
      <c r="E69" s="33">
        <v>0.6554925890797175</v>
      </c>
      <c r="F69" s="33">
        <v>0.6532605759586572</v>
      </c>
      <c r="G69" s="33">
        <v>0.6465825644887968</v>
      </c>
      <c r="H69" s="33">
        <v>0.6399799389155653</v>
      </c>
      <c r="I69" s="33">
        <v>0.6374849538901896</v>
      </c>
      <c r="J69" s="33">
        <v>0.6472191676862794</v>
      </c>
      <c r="K69" s="33">
        <v>0.646587642337129</v>
      </c>
      <c r="L69" s="33">
        <v>0.6409920940320437</v>
      </c>
      <c r="M69" s="33">
        <v>0.6389500114745468</v>
      </c>
    </row>
    <row r="70" ht="14.25" customHeight="1">
      <c r="A70" s="11" t="s">
        <v>135</v>
      </c>
      <c r="B70" s="11" t="s">
        <v>136</v>
      </c>
      <c r="C70" s="33">
        <v>0.6537478477547135</v>
      </c>
      <c r="D70" s="33">
        <v>0.6426534894417397</v>
      </c>
      <c r="E70" s="33">
        <v>0.6435070295140113</v>
      </c>
      <c r="F70" s="33">
        <v>0.6396410025679161</v>
      </c>
      <c r="G70" s="33">
        <v>0.6321947044955212</v>
      </c>
      <c r="H70" s="33">
        <v>0.6243132818620076</v>
      </c>
      <c r="I70" s="33">
        <v>0.6201903732955816</v>
      </c>
      <c r="J70" s="33">
        <v>0.6305301934052696</v>
      </c>
      <c r="K70" s="33">
        <v>0.6295484814100314</v>
      </c>
      <c r="L70" s="33">
        <v>0.623883333981173</v>
      </c>
      <c r="M70" s="33">
        <v>0.6221692073975121</v>
      </c>
    </row>
    <row r="71" ht="14.25" customHeight="1">
      <c r="A71" s="11" t="s">
        <v>137</v>
      </c>
      <c r="B71" s="11" t="s">
        <v>138</v>
      </c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</row>
    <row r="72" ht="14.25" customHeight="1">
      <c r="A72" s="11" t="s">
        <v>139</v>
      </c>
      <c r="B72" s="11" t="s">
        <v>140</v>
      </c>
      <c r="C72" s="33">
        <v>0.6289706645716129</v>
      </c>
      <c r="D72" s="33">
        <v>0.6287228602238997</v>
      </c>
      <c r="E72" s="33">
        <v>0.6168113090363465</v>
      </c>
      <c r="F72" s="33">
        <v>0.6157864948408726</v>
      </c>
      <c r="G72" s="33">
        <v>0.6336742599507171</v>
      </c>
      <c r="H72" s="33">
        <v>0.6492341618289783</v>
      </c>
      <c r="I72" s="33">
        <v>0.6654809125060337</v>
      </c>
      <c r="J72" s="33">
        <v>0.7080888407141444</v>
      </c>
      <c r="K72" s="33">
        <v>0.7076958472334063</v>
      </c>
      <c r="L72" s="33">
        <v>0.7345097488988329</v>
      </c>
      <c r="M72" s="33">
        <v>0.7289536439535699</v>
      </c>
    </row>
    <row r="73" ht="14.25" customHeight="1">
      <c r="A73" s="11" t="s">
        <v>141</v>
      </c>
      <c r="B73" s="11" t="s">
        <v>142</v>
      </c>
      <c r="C73" s="33">
        <v>0.6875860981575388</v>
      </c>
      <c r="D73" s="33">
        <v>0.6728052100488938</v>
      </c>
      <c r="E73" s="33">
        <v>0.6566961344934368</v>
      </c>
      <c r="F73" s="33">
        <v>0.6232690322075065</v>
      </c>
      <c r="G73" s="33">
        <v>0.5760467901692654</v>
      </c>
      <c r="H73" s="33">
        <v>0.5359272942111531</v>
      </c>
      <c r="I73" s="33">
        <v>0.5041402453924055</v>
      </c>
      <c r="J73" s="33">
        <v>0.5368657663604914</v>
      </c>
      <c r="K73" s="33">
        <v>0.519045272640442</v>
      </c>
      <c r="L73" s="33">
        <v>0.500590896429397</v>
      </c>
      <c r="M73" s="33">
        <v>0.4891055059168561</v>
      </c>
    </row>
    <row r="74" ht="14.25" customHeight="1">
      <c r="A74" s="11" t="s">
        <v>143</v>
      </c>
      <c r="B74" s="11" t="s">
        <v>144</v>
      </c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</row>
    <row r="75" ht="14.25" customHeight="1">
      <c r="A75" s="11" t="s">
        <v>145</v>
      </c>
      <c r="B75" s="11" t="s">
        <v>146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</row>
    <row r="76" ht="14.25" customHeight="1">
      <c r="A76" s="11" t="s">
        <v>147</v>
      </c>
      <c r="B76" s="11" t="s">
        <v>148</v>
      </c>
      <c r="C76" s="33">
        <v>0.08140433710775916</v>
      </c>
      <c r="D76" s="33">
        <v>0.08410886462219311</v>
      </c>
      <c r="E76" s="33">
        <v>0.08916132702235674</v>
      </c>
      <c r="F76" s="33">
        <v>0.09803767745844875</v>
      </c>
      <c r="G76" s="33">
        <v>0.0988648826793307</v>
      </c>
      <c r="H76" s="33">
        <v>0.10234129402058743</v>
      </c>
      <c r="I76" s="33">
        <v>0.11626963442223881</v>
      </c>
      <c r="J76" s="33">
        <v>0.18629606509741967</v>
      </c>
      <c r="K76" s="33">
        <v>0.20409015713194356</v>
      </c>
      <c r="L76" s="33">
        <v>0.16331375799442546</v>
      </c>
      <c r="M76" s="33">
        <v>0.14606097076936866</v>
      </c>
    </row>
    <row r="77" ht="14.25" customHeight="1">
      <c r="A77" s="11" t="s">
        <v>149</v>
      </c>
      <c r="B77" s="11" t="s">
        <v>150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</row>
    <row r="78" ht="14.25" customHeight="1">
      <c r="A78" s="11" t="s">
        <v>151</v>
      </c>
      <c r="B78" s="11" t="s">
        <v>152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</row>
    <row r="79" ht="14.25" customHeight="1">
      <c r="A79" s="11" t="s">
        <v>153</v>
      </c>
      <c r="B79" s="11" t="s">
        <v>154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</row>
    <row r="80" ht="14.25" customHeight="1">
      <c r="A80" s="11" t="s">
        <v>155</v>
      </c>
      <c r="B80" s="11" t="s">
        <v>156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</row>
    <row r="81" ht="14.25" customHeight="1">
      <c r="A81" s="11" t="s">
        <v>157</v>
      </c>
      <c r="B81" s="11" t="s">
        <v>158</v>
      </c>
      <c r="C81" s="33">
        <v>0.2594241247276997</v>
      </c>
      <c r="D81" s="33">
        <v>0.2508469563570326</v>
      </c>
      <c r="E81" s="33">
        <v>0.24268470427185249</v>
      </c>
      <c r="F81" s="33">
        <v>0.2373306839501429</v>
      </c>
      <c r="G81" s="33">
        <v>0.23261519192828112</v>
      </c>
      <c r="H81" s="33">
        <v>0.23683278635087385</v>
      </c>
      <c r="I81" s="33">
        <v>0.23329025244245524</v>
      </c>
      <c r="J81" s="33">
        <v>0.24269190736599267</v>
      </c>
      <c r="K81" s="33">
        <v>0.24329059500291034</v>
      </c>
      <c r="L81" s="33">
        <v>0.2353951448898378</v>
      </c>
      <c r="M81" s="33">
        <v>0.23356318404830792</v>
      </c>
    </row>
    <row r="82" ht="14.25" customHeight="1">
      <c r="A82" s="11" t="s">
        <v>159</v>
      </c>
      <c r="B82" s="11" t="s">
        <v>160</v>
      </c>
      <c r="C82" s="33">
        <v>0.524765301366651</v>
      </c>
      <c r="D82" s="33">
        <v>0.5069726318612401</v>
      </c>
      <c r="E82" s="33">
        <v>0.45713746376323067</v>
      </c>
      <c r="F82" s="33">
        <v>0.4558351264838239</v>
      </c>
      <c r="G82" s="33">
        <v>0.44851237010261075</v>
      </c>
      <c r="H82" s="33">
        <v>0.4324706384847892</v>
      </c>
      <c r="I82" s="33">
        <v>0.4303060743183874</v>
      </c>
      <c r="J82" s="33">
        <v>0.4663390352692326</v>
      </c>
      <c r="K82" s="33">
        <v>0.4636325603633755</v>
      </c>
      <c r="L82" s="33">
        <v>0.4562284852781645</v>
      </c>
      <c r="M82" s="33">
        <v>0.45147718947031684</v>
      </c>
    </row>
    <row r="83" ht="14.25" customHeight="1">
      <c r="A83" s="11" t="s">
        <v>161</v>
      </c>
      <c r="B83" s="11" t="s">
        <v>162</v>
      </c>
      <c r="C83" s="33">
        <v>0.34641395184187423</v>
      </c>
      <c r="D83" s="33">
        <v>0.30546420574629224</v>
      </c>
      <c r="E83" s="33">
        <v>0.2816741372771908</v>
      </c>
      <c r="F83" s="33">
        <v>0.282737252757551</v>
      </c>
      <c r="G83" s="33">
        <v>0.26320435818139076</v>
      </c>
      <c r="H83" s="33">
        <v>0.24071626125510956</v>
      </c>
      <c r="I83" s="33">
        <v>0.2229008290862087</v>
      </c>
      <c r="J83" s="33">
        <v>0.24561444385900347</v>
      </c>
      <c r="K83" s="33">
        <v>0.2299846861287459</v>
      </c>
      <c r="L83" s="33">
        <v>0.2144503162929965</v>
      </c>
      <c r="M83" s="33">
        <v>0.2067707701191778</v>
      </c>
    </row>
    <row r="84" ht="14.25" customHeight="1">
      <c r="A84" s="11" t="s">
        <v>163</v>
      </c>
      <c r="B84" s="11" t="s">
        <v>164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</row>
    <row r="85" ht="14.25" customHeight="1">
      <c r="A85" s="11" t="s">
        <v>165</v>
      </c>
      <c r="B85" s="11" t="s">
        <v>166</v>
      </c>
      <c r="C85" s="33">
        <v>0.47959003977454845</v>
      </c>
      <c r="D85" s="33">
        <v>0.47744068436373704</v>
      </c>
      <c r="E85" s="33">
        <v>0.48989581476515265</v>
      </c>
      <c r="F85" s="33">
        <v>0.4765333538526065</v>
      </c>
      <c r="G85" s="33">
        <v>0.4440860405585226</v>
      </c>
      <c r="H85" s="33">
        <v>0.4233625884912358</v>
      </c>
      <c r="I85" s="33">
        <v>0.4010206094128296</v>
      </c>
      <c r="J85" s="33">
        <v>0.40277049482152677</v>
      </c>
      <c r="K85" s="33">
        <v>0.3914529653216879</v>
      </c>
      <c r="L85" s="33">
        <v>0.3876852778327248</v>
      </c>
      <c r="M85" s="33">
        <v>0.38911605002226085</v>
      </c>
    </row>
    <row r="86" ht="14.25" customHeight="1">
      <c r="A86" s="11" t="s">
        <v>167</v>
      </c>
      <c r="B86" s="11" t="s">
        <v>168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  <row r="87" ht="14.25" customHeight="1">
      <c r="A87" s="11" t="s">
        <v>169</v>
      </c>
      <c r="B87" s="11" t="s">
        <v>170</v>
      </c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</row>
    <row r="88" ht="14.25" customHeight="1">
      <c r="A88" s="11" t="s">
        <v>171</v>
      </c>
      <c r="B88" s="11" t="s">
        <v>172</v>
      </c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</row>
    <row r="89" ht="14.25" customHeight="1">
      <c r="A89" s="11" t="s">
        <v>173</v>
      </c>
      <c r="B89" s="11" t="s">
        <v>174</v>
      </c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</row>
    <row r="90" ht="14.25" customHeight="1">
      <c r="A90" s="11" t="s">
        <v>175</v>
      </c>
      <c r="B90" s="11" t="s">
        <v>176</v>
      </c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</row>
    <row r="91" ht="14.25" customHeight="1">
      <c r="A91" s="11" t="s">
        <v>177</v>
      </c>
      <c r="B91" s="11" t="s">
        <v>178</v>
      </c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</row>
    <row r="92" ht="14.25" customHeight="1">
      <c r="A92" s="11" t="s">
        <v>179</v>
      </c>
      <c r="B92" s="11" t="s">
        <v>180</v>
      </c>
      <c r="C92" s="33">
        <v>0.17892509873409548</v>
      </c>
      <c r="D92" s="33">
        <v>0.1708030383777218</v>
      </c>
      <c r="E92" s="33">
        <v>0.15525760035875674</v>
      </c>
      <c r="F92" s="33">
        <v>0.1491280215108764</v>
      </c>
      <c r="G92" s="33">
        <v>0.14309290792327653</v>
      </c>
      <c r="H92" s="33">
        <v>0.13679143048057404</v>
      </c>
      <c r="I92" s="33">
        <v>0.1233930778831745</v>
      </c>
      <c r="J92" s="33">
        <v>0.14200125577051798</v>
      </c>
      <c r="K92" s="33">
        <v>0.11735609179132359</v>
      </c>
      <c r="L92" s="33">
        <v>0.12136342907374244</v>
      </c>
      <c r="M92" s="33">
        <v>0.11358308982638282</v>
      </c>
    </row>
    <row r="93" ht="14.25" customHeight="1">
      <c r="A93" s="11" t="s">
        <v>181</v>
      </c>
      <c r="B93" s="11" t="s">
        <v>182</v>
      </c>
      <c r="C93" s="33">
        <v>0.6013436573848551</v>
      </c>
      <c r="D93" s="33">
        <v>0.5919592980342196</v>
      </c>
      <c r="E93" s="33">
        <v>0.5814312649123037</v>
      </c>
      <c r="F93" s="33">
        <v>0.5447636486105227</v>
      </c>
      <c r="G93" s="33">
        <v>0.5101448626202798</v>
      </c>
      <c r="H93" s="33">
        <v>0.4853660496291036</v>
      </c>
      <c r="I93" s="33">
        <v>0.46450963694907643</v>
      </c>
      <c r="J93" s="33">
        <v>0.4750549883904379</v>
      </c>
      <c r="K93" s="33">
        <v>0.4654507385338017</v>
      </c>
      <c r="L93" s="33">
        <v>0.45566956341613035</v>
      </c>
      <c r="M93" s="33">
        <v>0.4451914778354003</v>
      </c>
    </row>
    <row r="94" ht="14.25" customHeight="1">
      <c r="A94" s="11" t="s">
        <v>183</v>
      </c>
      <c r="B94" s="11" t="s">
        <v>184</v>
      </c>
      <c r="C94" s="33">
        <v>0.7819885217359264</v>
      </c>
      <c r="D94" s="33">
        <v>0.7113156613392908</v>
      </c>
      <c r="E94" s="33">
        <v>0.737933601543163</v>
      </c>
      <c r="F94" s="33">
        <v>0.6477176740885902</v>
      </c>
      <c r="G94" s="33">
        <v>0.5750266616351376</v>
      </c>
      <c r="H94" s="33">
        <v>0.565258334156578</v>
      </c>
      <c r="I94" s="33">
        <v>0.5259504377825621</v>
      </c>
      <c r="J94" s="33">
        <v>0.5307919000535406</v>
      </c>
      <c r="K94" s="33">
        <v>0.5238595901177882</v>
      </c>
      <c r="L94" s="33">
        <v>0.520002722037445</v>
      </c>
      <c r="M94" s="33">
        <v>0.5187130807786712</v>
      </c>
    </row>
    <row r="95" ht="14.25" customHeight="1">
      <c r="A95" s="11" t="s">
        <v>185</v>
      </c>
      <c r="B95" s="11" t="s">
        <v>186</v>
      </c>
      <c r="C95" s="33">
        <v>0.20395253866232566</v>
      </c>
      <c r="D95" s="33">
        <v>0.20670087091789932</v>
      </c>
      <c r="E95" s="33">
        <v>0.20991443742694926</v>
      </c>
      <c r="F95" s="33">
        <v>0.21005634395691225</v>
      </c>
      <c r="G95" s="33">
        <v>0.20917158340831504</v>
      </c>
      <c r="H95" s="33">
        <v>0.21064784863293887</v>
      </c>
      <c r="I95" s="33">
        <v>0.1992860452381955</v>
      </c>
      <c r="J95" s="33">
        <v>0.18721313457032845</v>
      </c>
      <c r="K95" s="33">
        <v>0.1698059259991387</v>
      </c>
      <c r="L95" s="33">
        <v>0.13601195740002842</v>
      </c>
      <c r="M95" s="33">
        <v>0.13288429530747356</v>
      </c>
    </row>
    <row r="96" ht="14.25" customHeight="1">
      <c r="A96" s="11" t="s">
        <v>187</v>
      </c>
      <c r="B96" s="11" t="s">
        <v>188</v>
      </c>
      <c r="C96" s="33">
        <v>0.5909437999982258</v>
      </c>
      <c r="D96" s="33">
        <v>0.5930010687090885</v>
      </c>
      <c r="E96" s="33">
        <v>0.5757311374024395</v>
      </c>
      <c r="F96" s="33">
        <v>0.5553796533828428</v>
      </c>
      <c r="G96" s="33">
        <v>0.5401735005011887</v>
      </c>
      <c r="H96" s="33">
        <v>0.529071822514362</v>
      </c>
      <c r="I96" s="33">
        <v>0.5491119485771766</v>
      </c>
      <c r="J96" s="33">
        <v>0.5727881342269885</v>
      </c>
      <c r="K96" s="33">
        <v>0.5751933274370993</v>
      </c>
      <c r="L96" s="33">
        <v>0.5810943437995794</v>
      </c>
      <c r="M96" s="33">
        <v>0.5896005658880615</v>
      </c>
    </row>
    <row r="97" ht="14.25" customHeight="1">
      <c r="A97" s="11" t="s">
        <v>189</v>
      </c>
      <c r="B97" s="11" t="s">
        <v>190</v>
      </c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</row>
    <row r="98" ht="14.25" customHeight="1">
      <c r="A98" s="11" t="s">
        <v>191</v>
      </c>
      <c r="B98" s="11" t="s">
        <v>192</v>
      </c>
      <c r="C98" s="33">
        <v>0.28180543663376584</v>
      </c>
      <c r="D98" s="33">
        <v>0.28657215023782195</v>
      </c>
      <c r="E98" s="33">
        <v>0.27879916155308615</v>
      </c>
      <c r="F98" s="33">
        <v>0.2790758093382968</v>
      </c>
      <c r="G98" s="33">
        <v>0.2650597545995759</v>
      </c>
      <c r="H98" s="33">
        <v>0.266070354353113</v>
      </c>
      <c r="I98" s="33">
        <v>0.25744051407766816</v>
      </c>
      <c r="J98" s="33">
        <v>0.31690618467812154</v>
      </c>
      <c r="K98" s="33">
        <v>0.2609845532054137</v>
      </c>
      <c r="L98" s="33">
        <v>0.25469966503488645</v>
      </c>
      <c r="M98" s="33">
        <v>0.24130766685821503</v>
      </c>
    </row>
    <row r="99" ht="14.25" customHeight="1">
      <c r="A99" s="11" t="s">
        <v>193</v>
      </c>
      <c r="B99" s="11" t="s">
        <v>194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</row>
    <row r="100" ht="14.25" customHeight="1">
      <c r="A100" s="11" t="s">
        <v>195</v>
      </c>
      <c r="B100" s="11" t="s">
        <v>196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 ht="14.25" customHeight="1">
      <c r="A101" s="11" t="s">
        <v>197</v>
      </c>
      <c r="B101" s="11" t="s">
        <v>198</v>
      </c>
      <c r="C101" s="33">
        <v>0.629430717013396</v>
      </c>
      <c r="D101" s="33">
        <v>0.6257791409070753</v>
      </c>
      <c r="E101" s="33">
        <v>0.6168634557271541</v>
      </c>
      <c r="F101" s="33">
        <v>0.6043771797092307</v>
      </c>
      <c r="G101" s="33">
        <v>0.5638352347476331</v>
      </c>
      <c r="H101" s="33">
        <v>0.4952561242174967</v>
      </c>
      <c r="I101" s="33">
        <v>0.45680067695489457</v>
      </c>
      <c r="J101" s="33">
        <v>0.5099881495462779</v>
      </c>
      <c r="K101" s="33">
        <v>0.4789253887021518</v>
      </c>
      <c r="L101" s="33">
        <v>0.4457745019564162</v>
      </c>
      <c r="M101" s="33">
        <v>0.4177847318654696</v>
      </c>
    </row>
    <row r="102" ht="14.25" customHeight="1">
      <c r="A102" s="11" t="s">
        <v>199</v>
      </c>
      <c r="B102" s="11" t="s">
        <v>200</v>
      </c>
      <c r="C102" s="33">
        <v>0.44124657455361166</v>
      </c>
      <c r="D102" s="33">
        <v>0.41082406069196986</v>
      </c>
      <c r="E102" s="33">
        <v>0.3704088640799877</v>
      </c>
      <c r="F102" s="33">
        <v>0.34758335256142076</v>
      </c>
      <c r="G102" s="33">
        <v>0.3110786241633959</v>
      </c>
      <c r="H102" s="33">
        <v>0.2872027313477164</v>
      </c>
      <c r="I102" s="33">
        <v>0.26658557775387814</v>
      </c>
      <c r="J102" s="33">
        <v>0.26129494511008594</v>
      </c>
      <c r="K102" s="33">
        <v>0.24830746319685337</v>
      </c>
      <c r="L102" s="33">
        <v>0.23327784024924464</v>
      </c>
      <c r="M102" s="33">
        <v>0.22188718962419543</v>
      </c>
    </row>
    <row r="103" ht="14.25" customHeight="1">
      <c r="A103" s="11" t="s">
        <v>201</v>
      </c>
      <c r="B103" s="11" t="s">
        <v>202</v>
      </c>
      <c r="C103" s="33">
        <v>0.11680102759735587</v>
      </c>
      <c r="D103" s="33">
        <v>0.12121855216474743</v>
      </c>
      <c r="E103" s="33">
        <v>0.127654389939739</v>
      </c>
      <c r="F103" s="33">
        <v>0.14177390399290896</v>
      </c>
      <c r="G103" s="33">
        <v>0.13643779795862027</v>
      </c>
      <c r="H103" s="33">
        <v>0.13703806788537484</v>
      </c>
      <c r="I103" s="33">
        <v>0.12900877616742132</v>
      </c>
      <c r="J103" s="33">
        <v>0.10536136528119418</v>
      </c>
      <c r="K103" s="33">
        <v>0.10063905916267453</v>
      </c>
      <c r="L103" s="33">
        <v>0.0975300812471069</v>
      </c>
      <c r="M103" s="33">
        <v>0.09587563741193521</v>
      </c>
    </row>
    <row r="104" ht="14.25" customHeight="1">
      <c r="A104" s="11" t="s">
        <v>203</v>
      </c>
      <c r="B104" s="11" t="s">
        <v>204</v>
      </c>
      <c r="C104" s="33">
        <v>0.099527223851888</v>
      </c>
      <c r="D104" s="33">
        <v>0.1146008618461441</v>
      </c>
      <c r="E104" s="33">
        <v>0.1164518931534602</v>
      </c>
      <c r="F104" s="33">
        <v>0.11256664302678289</v>
      </c>
      <c r="G104" s="33">
        <v>0.13568482792605738</v>
      </c>
      <c r="H104" s="33">
        <v>0.1405401391542771</v>
      </c>
      <c r="I104" s="33">
        <v>0.1457947256319665</v>
      </c>
      <c r="J104" s="33">
        <v>0.16453943797774598</v>
      </c>
      <c r="K104" s="33">
        <v>0.16847312809455464</v>
      </c>
      <c r="L104" s="33">
        <v>0.16116258654972518</v>
      </c>
      <c r="M104" s="33">
        <v>0.16201003141261433</v>
      </c>
    </row>
    <row r="105" ht="14.25" customHeight="1">
      <c r="A105" s="11" t="s">
        <v>205</v>
      </c>
      <c r="B105" s="11" t="s">
        <v>206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 ht="14.25" customHeight="1">
      <c r="A106" s="11" t="s">
        <v>207</v>
      </c>
      <c r="B106" s="11" t="s">
        <v>208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 ht="14.25" customHeight="1">
      <c r="A107" s="11" t="s">
        <v>209</v>
      </c>
      <c r="B107" s="11" t="s">
        <v>210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 ht="14.25" customHeight="1">
      <c r="A108" s="11" t="s">
        <v>211</v>
      </c>
      <c r="B108" s="11" t="s">
        <v>212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 ht="14.25" customHeight="1">
      <c r="A109" s="11" t="s">
        <v>213</v>
      </c>
      <c r="B109" s="11" t="s">
        <v>214</v>
      </c>
      <c r="C109" s="33">
        <v>0.14277048892611147</v>
      </c>
      <c r="D109" s="33">
        <v>0.1369853858324954</v>
      </c>
      <c r="E109" s="33">
        <v>0.1360186409133707</v>
      </c>
      <c r="F109" s="33">
        <v>0.13249132073864242</v>
      </c>
      <c r="G109" s="33">
        <v>0.12156647302650314</v>
      </c>
      <c r="H109" s="33">
        <v>0.10197140984624169</v>
      </c>
      <c r="I109" s="33">
        <v>0.09571885121510233</v>
      </c>
      <c r="J109" s="33">
        <v>0.12580707522474274</v>
      </c>
      <c r="K109" s="33">
        <v>0.10575407373012931</v>
      </c>
      <c r="L109" s="33">
        <v>0.09076139025874648</v>
      </c>
      <c r="M109" s="33">
        <v>0.09256909062342683</v>
      </c>
    </row>
    <row r="110" ht="14.25" customHeight="1">
      <c r="A110" s="11" t="s">
        <v>215</v>
      </c>
      <c r="B110" s="11" t="s">
        <v>216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 ht="14.25" customHeight="1">
      <c r="A111" s="11" t="s">
        <v>217</v>
      </c>
      <c r="B111" s="11" t="s">
        <v>218</v>
      </c>
      <c r="C111" s="33">
        <v>0.13105336092922826</v>
      </c>
      <c r="D111" s="33">
        <v>0.12807057477647363</v>
      </c>
      <c r="E111" s="33">
        <v>0.14314254380486105</v>
      </c>
      <c r="F111" s="33">
        <v>0.16604968556264216</v>
      </c>
      <c r="G111" s="33">
        <v>0.19425437956177333</v>
      </c>
      <c r="H111" s="33">
        <v>0.19521253179778233</v>
      </c>
      <c r="I111" s="33">
        <v>0.18159903431823798</v>
      </c>
      <c r="J111" s="33">
        <v>0.20504242163792652</v>
      </c>
      <c r="K111" s="33">
        <v>0.21040743839856754</v>
      </c>
      <c r="L111" s="33">
        <v>0.19488841780356894</v>
      </c>
      <c r="M111" s="33">
        <v>0.19163912663322033</v>
      </c>
    </row>
    <row r="112" ht="14.25" customHeight="1">
      <c r="A112" s="11" t="s">
        <v>219</v>
      </c>
      <c r="B112" s="11" t="s">
        <v>220</v>
      </c>
      <c r="C112" s="33">
        <v>0.053669106126415574</v>
      </c>
      <c r="D112" s="33">
        <v>0.05248636341421668</v>
      </c>
      <c r="E112" s="33">
        <v>0.051793748478691205</v>
      </c>
      <c r="F112" s="33">
        <v>0.05428697975298886</v>
      </c>
      <c r="G112" s="33">
        <v>0.05170383855233186</v>
      </c>
      <c r="H112" s="33">
        <v>0.05027536050866307</v>
      </c>
      <c r="I112" s="33">
        <v>0.04937986012345875</v>
      </c>
      <c r="J112" s="33">
        <v>0.050761144919328205</v>
      </c>
      <c r="K112" s="33">
        <v>0.057979232713022584</v>
      </c>
      <c r="L112" s="33">
        <v>0.05044382074078199</v>
      </c>
      <c r="M112" s="33">
        <v>0.05031555937337427</v>
      </c>
    </row>
    <row r="113" ht="14.25" customHeight="1">
      <c r="A113" s="11" t="s">
        <v>221</v>
      </c>
      <c r="B113" s="11" t="s">
        <v>222</v>
      </c>
      <c r="C113" s="33">
        <v>0.5426821631791663</v>
      </c>
      <c r="D113" s="33">
        <v>0.5373707289628284</v>
      </c>
      <c r="E113" s="33">
        <v>0.5324913001756412</v>
      </c>
      <c r="F113" s="33">
        <v>0.5301352096399282</v>
      </c>
      <c r="G113" s="33">
        <v>0.5565623366851865</v>
      </c>
      <c r="H113" s="33">
        <v>0.5703257951783106</v>
      </c>
      <c r="I113" s="33">
        <v>0.5843636663822263</v>
      </c>
      <c r="J113" s="33">
        <v>0.6285658673089164</v>
      </c>
      <c r="K113" s="33">
        <v>0.6437062900013817</v>
      </c>
      <c r="L113" s="33">
        <v>0.6352998577879616</v>
      </c>
      <c r="M113" s="33">
        <v>0.6268317521708184</v>
      </c>
    </row>
    <row r="114" ht="14.25" customHeight="1">
      <c r="A114" s="11" t="s">
        <v>223</v>
      </c>
      <c r="B114" s="11" t="s">
        <v>224</v>
      </c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 ht="14.25" customHeight="1">
      <c r="A115" s="11" t="s">
        <v>225</v>
      </c>
      <c r="B115" s="11" t="s">
        <v>226</v>
      </c>
      <c r="C115" s="33">
        <v>0.02813703466772858</v>
      </c>
      <c r="D115" s="33">
        <v>0.032647080406875306</v>
      </c>
      <c r="E115" s="33">
        <v>0.025488282783419355</v>
      </c>
      <c r="F115" s="33">
        <v>0.025047884395968247</v>
      </c>
      <c r="G115" s="33">
        <v>0.025817595140931956</v>
      </c>
      <c r="H115" s="33">
        <v>0.025228905502229334</v>
      </c>
      <c r="I115" s="33">
        <v>0.0254003573269947</v>
      </c>
      <c r="J115" s="33">
        <v>0.03799455305757875</v>
      </c>
      <c r="K115" s="33">
        <v>0.03186788401203604</v>
      </c>
      <c r="L115" s="33">
        <v>0.023495257091649426</v>
      </c>
      <c r="M115" s="33">
        <v>0.023013870606511173</v>
      </c>
    </row>
    <row r="116" ht="14.25" customHeight="1">
      <c r="A116" s="11" t="s">
        <v>227</v>
      </c>
      <c r="B116" s="11" t="s">
        <v>228</v>
      </c>
      <c r="C116" s="33">
        <v>0.24911782911939115</v>
      </c>
      <c r="D116" s="33">
        <v>0.1923267852236681</v>
      </c>
      <c r="E116" s="33">
        <v>0.22167397653801982</v>
      </c>
      <c r="F116" s="33">
        <v>0.1862062223152341</v>
      </c>
      <c r="G116" s="33">
        <v>0.18789970238752715</v>
      </c>
      <c r="H116" s="33">
        <v>0.14953524387975325</v>
      </c>
      <c r="I116" s="33">
        <v>0.14050439063381254</v>
      </c>
      <c r="J116" s="33">
        <v>0.21488195623234105</v>
      </c>
      <c r="K116" s="33">
        <v>0.18628071183003245</v>
      </c>
      <c r="L116" s="33">
        <v>0.1809086477309022</v>
      </c>
      <c r="M116" s="33">
        <v>0.1739581690696828</v>
      </c>
    </row>
    <row r="117" ht="14.25" customHeight="1">
      <c r="A117" s="11" t="s">
        <v>229</v>
      </c>
      <c r="B117" s="11" t="s">
        <v>230</v>
      </c>
      <c r="C117" s="33">
        <v>0.38151009636898753</v>
      </c>
      <c r="D117" s="33">
        <v>0.3673712226677806</v>
      </c>
      <c r="E117" s="33">
        <v>0.35662648572237604</v>
      </c>
      <c r="F117" s="33">
        <v>0.3468833001701271</v>
      </c>
      <c r="G117" s="33">
        <v>0.33860141526022486</v>
      </c>
      <c r="H117" s="33">
        <v>0.32579216323576254</v>
      </c>
      <c r="I117" s="33">
        <v>0.30591916449456824</v>
      </c>
      <c r="J117" s="33">
        <v>0.3056778884920411</v>
      </c>
      <c r="K117" s="33">
        <v>0.29727576968557007</v>
      </c>
      <c r="L117" s="33">
        <v>0.2887310885902851</v>
      </c>
      <c r="M117" s="33">
        <v>0.27981916009448443</v>
      </c>
    </row>
    <row r="118" ht="14.25" customHeight="1">
      <c r="A118" s="11" t="s">
        <v>231</v>
      </c>
      <c r="B118" s="11" t="s">
        <v>232</v>
      </c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 ht="14.25" customHeight="1">
      <c r="A119" s="11" t="s">
        <v>233</v>
      </c>
      <c r="B119" s="11" t="s">
        <v>234</v>
      </c>
      <c r="C119" s="33">
        <v>0.08536173716272016</v>
      </c>
      <c r="D119" s="33">
        <v>0.089086284860743</v>
      </c>
      <c r="E119" s="33">
        <v>0.0938286674963583</v>
      </c>
      <c r="F119" s="33">
        <v>0.0987210979524553</v>
      </c>
      <c r="G119" s="33">
        <v>0.10347269995083573</v>
      </c>
      <c r="H119" s="33">
        <v>0.10852059279887655</v>
      </c>
      <c r="I119" s="33">
        <v>0.1141082113975737</v>
      </c>
      <c r="J119" s="33">
        <v>0.13408043166008982</v>
      </c>
      <c r="K119" s="33">
        <v>0.12794891696397706</v>
      </c>
      <c r="L119" s="33">
        <v>0.11773037675375239</v>
      </c>
      <c r="M119" s="33">
        <v>0.11738323180559061</v>
      </c>
    </row>
    <row r="120" ht="14.25" customHeight="1">
      <c r="A120" s="11" t="s">
        <v>235</v>
      </c>
      <c r="B120" s="11" t="s">
        <v>236</v>
      </c>
      <c r="C120" s="33">
        <v>0.5505933265786265</v>
      </c>
      <c r="D120" s="33">
        <v>0.5729738297547141</v>
      </c>
      <c r="E120" s="33">
        <v>0.5546740066063935</v>
      </c>
      <c r="F120" s="33">
        <v>0.5345352642874737</v>
      </c>
      <c r="G120" s="33">
        <v>0.5407831915234316</v>
      </c>
      <c r="H120" s="33">
        <v>0.5512550313449165</v>
      </c>
      <c r="I120" s="33">
        <v>0.5618142566881138</v>
      </c>
      <c r="J120" s="33">
        <v>0.5825338952286251</v>
      </c>
      <c r="K120" s="33">
        <v>0.5794957222172603</v>
      </c>
      <c r="L120" s="33">
        <v>0.5743287544742125</v>
      </c>
      <c r="M120" s="33">
        <v>0.5728787359664709</v>
      </c>
    </row>
    <row r="121" ht="14.25" customHeight="1">
      <c r="A121" s="11" t="s">
        <v>237</v>
      </c>
      <c r="B121" s="11" t="s">
        <v>238</v>
      </c>
      <c r="C121" s="33">
        <v>0.6115022070689572</v>
      </c>
      <c r="D121" s="33">
        <v>0.601795619494238</v>
      </c>
      <c r="E121" s="33">
        <v>0.6020274219168253</v>
      </c>
      <c r="F121" s="33">
        <v>0.6050771399543287</v>
      </c>
      <c r="G121" s="33">
        <v>0.6016520934292507</v>
      </c>
      <c r="H121" s="33">
        <v>0.6057292273165154</v>
      </c>
      <c r="I121" s="33">
        <v>0.6381984755625771</v>
      </c>
      <c r="J121" s="33">
        <v>0.6533415932427927</v>
      </c>
      <c r="K121" s="33">
        <v>0.6416974515386876</v>
      </c>
      <c r="L121" s="33">
        <v>0.6272313895083748</v>
      </c>
      <c r="M121" s="33">
        <v>0.6170981281124918</v>
      </c>
    </row>
    <row r="122" ht="14.25" customHeight="1">
      <c r="A122" s="11" t="s">
        <v>239</v>
      </c>
      <c r="B122" s="11" t="s">
        <v>240</v>
      </c>
      <c r="C122" s="33">
        <v>0.2415301758031541</v>
      </c>
      <c r="D122" s="33">
        <v>0.24653062542052642</v>
      </c>
      <c r="E122" s="33">
        <v>0.2686457376713</v>
      </c>
      <c r="F122" s="33">
        <v>0.2730650814253361</v>
      </c>
      <c r="G122" s="33">
        <v>0.28299975798875315</v>
      </c>
      <c r="H122" s="33">
        <v>0.29238711841820175</v>
      </c>
      <c r="I122" s="33">
        <v>0.29101827271317404</v>
      </c>
      <c r="J122" s="33">
        <v>0.2976189098952561</v>
      </c>
      <c r="K122" s="33">
        <v>0.2907387717838664</v>
      </c>
      <c r="L122" s="33">
        <v>0.2849307262324946</v>
      </c>
      <c r="M122" s="33">
        <v>0.2793383597617708</v>
      </c>
    </row>
    <row r="123" ht="14.25" customHeight="1">
      <c r="A123" s="11" t="s">
        <v>241</v>
      </c>
      <c r="B123" s="11" t="s">
        <v>242</v>
      </c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 ht="14.25" customHeight="1">
      <c r="A124" s="11" t="s">
        <v>243</v>
      </c>
      <c r="B124" s="11" t="s">
        <v>244</v>
      </c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 ht="14.25" customHeight="1">
      <c r="A125" s="11" t="s">
        <v>245</v>
      </c>
      <c r="B125" s="11" t="s">
        <v>246</v>
      </c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 ht="14.25" customHeight="1">
      <c r="A126" s="11" t="s">
        <v>247</v>
      </c>
      <c r="B126" s="11" t="s">
        <v>248</v>
      </c>
      <c r="C126" s="33">
        <v>0.9212484690198828</v>
      </c>
      <c r="D126" s="33">
        <v>0.9204111644492692</v>
      </c>
      <c r="E126" s="33">
        <v>0.9203350279554925</v>
      </c>
      <c r="F126" s="33">
        <v>0.9202297602090415</v>
      </c>
      <c r="G126" s="33">
        <v>0.9196692170027746</v>
      </c>
      <c r="H126" s="33">
        <v>0.9206006338463633</v>
      </c>
      <c r="I126" s="33">
        <v>0.9200335160947374</v>
      </c>
      <c r="J126" s="33">
        <v>0.943230943235942</v>
      </c>
      <c r="K126" s="33">
        <v>0.9410109727863375</v>
      </c>
      <c r="L126" s="33">
        <v>0.9422166458550952</v>
      </c>
      <c r="M126" s="33">
        <v>0.9416793227263961</v>
      </c>
    </row>
    <row r="127" ht="14.25" customHeight="1">
      <c r="A127" s="11" t="s">
        <v>249</v>
      </c>
      <c r="B127" s="11" t="s">
        <v>250</v>
      </c>
      <c r="C127" s="33">
        <v>0.8582825748965857</v>
      </c>
      <c r="D127" s="33">
        <v>0.8496766362232699</v>
      </c>
      <c r="E127" s="33">
        <v>0.8535530392370855</v>
      </c>
      <c r="F127" s="33">
        <v>0.8582270995583219</v>
      </c>
      <c r="G127" s="33">
        <v>0.8606310144704623</v>
      </c>
      <c r="H127" s="33">
        <v>0.8670457951149151</v>
      </c>
      <c r="I127" s="33">
        <v>0.8720339211656047</v>
      </c>
      <c r="J127" s="33">
        <v>0.8729000489246386</v>
      </c>
      <c r="K127" s="33">
        <v>0.8718983104520286</v>
      </c>
      <c r="L127" s="33">
        <v>0.8737660928254988</v>
      </c>
      <c r="M127" s="33">
        <v>0.8762038806751558</v>
      </c>
    </row>
    <row r="128" ht="14.25" customHeight="1">
      <c r="A128" s="11" t="s">
        <v>251</v>
      </c>
      <c r="B128" s="11" t="s">
        <v>252</v>
      </c>
      <c r="C128" s="33">
        <v>0.03380926645009311</v>
      </c>
      <c r="D128" s="33">
        <v>0.030654103573470082</v>
      </c>
      <c r="E128" s="33">
        <v>0.03263454934531166</v>
      </c>
      <c r="F128" s="33">
        <v>0.03586879895923349</v>
      </c>
      <c r="G128" s="33">
        <v>0.03525292296460268</v>
      </c>
      <c r="H128" s="33">
        <v>0.033830680789327286</v>
      </c>
      <c r="I128" s="33">
        <v>0.033150963274586005</v>
      </c>
      <c r="J128" s="33">
        <v>0.04621823520609919</v>
      </c>
      <c r="K128" s="33">
        <v>0.04773360908327364</v>
      </c>
      <c r="L128" s="33">
        <v>0.040120228631956203</v>
      </c>
      <c r="M128" s="33">
        <v>0.03936936720920955</v>
      </c>
    </row>
    <row r="129" ht="14.25" customHeight="1">
      <c r="A129" s="11" t="s">
        <v>253</v>
      </c>
      <c r="B129" s="11" t="s">
        <v>254</v>
      </c>
      <c r="C129" s="33">
        <v>0.08859615136252098</v>
      </c>
      <c r="D129" s="33">
        <v>0.07709382454280413</v>
      </c>
      <c r="E129" s="33">
        <v>0.06869723897995791</v>
      </c>
      <c r="F129" s="33">
        <v>0.05958250950939767</v>
      </c>
      <c r="G129" s="33">
        <v>0.05500834007621338</v>
      </c>
      <c r="H129" s="33">
        <v>0.05068107449965756</v>
      </c>
      <c r="I129" s="33">
        <v>0.0466298518769562</v>
      </c>
      <c r="J129" s="33">
        <v>0.05593575942253416</v>
      </c>
      <c r="K129" s="33">
        <v>0.052110087372821134</v>
      </c>
      <c r="L129" s="33">
        <v>0.04606938011839401</v>
      </c>
      <c r="M129" s="33">
        <v>0.04310785417571312</v>
      </c>
    </row>
    <row r="130" ht="14.25" customHeight="1">
      <c r="A130" s="11" t="s">
        <v>255</v>
      </c>
      <c r="B130" s="11" t="s">
        <v>256</v>
      </c>
      <c r="C130" s="33">
        <v>0.7116127303444277</v>
      </c>
      <c r="D130" s="33">
        <v>0.6632957444041888</v>
      </c>
      <c r="E130" s="33">
        <v>0.6948668163577529</v>
      </c>
      <c r="F130" s="33">
        <v>0.606654942628864</v>
      </c>
      <c r="G130" s="33">
        <v>0.5381225388418129</v>
      </c>
      <c r="H130" s="33">
        <v>0.49588628118803385</v>
      </c>
      <c r="I130" s="33">
        <v>0.47386404901448914</v>
      </c>
      <c r="J130" s="33">
        <v>0.503185082675453</v>
      </c>
      <c r="K130" s="33">
        <v>0.49659704054131854</v>
      </c>
      <c r="L130" s="33">
        <v>0.4990106460168606</v>
      </c>
      <c r="M130" s="33">
        <v>0.49355686684972805</v>
      </c>
    </row>
    <row r="131" ht="14.25" customHeight="1">
      <c r="A131" s="11" t="s">
        <v>257</v>
      </c>
      <c r="B131" s="11" t="s">
        <v>258</v>
      </c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 ht="14.25" customHeight="1">
      <c r="A132" s="11" t="s">
        <v>259</v>
      </c>
      <c r="B132" s="11" t="s">
        <v>260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 ht="14.25" customHeight="1">
      <c r="A133" s="11" t="s">
        <v>261</v>
      </c>
      <c r="B133" s="11" t="s">
        <v>262</v>
      </c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 ht="14.25" customHeight="1">
      <c r="A134" s="11" t="s">
        <v>263</v>
      </c>
      <c r="B134" s="11" t="s">
        <v>264</v>
      </c>
      <c r="C134" s="33">
        <v>0.3156145737204515</v>
      </c>
      <c r="D134" s="33">
        <v>0.28523316203358057</v>
      </c>
      <c r="E134" s="33">
        <v>0.27423219482112915</v>
      </c>
      <c r="F134" s="33">
        <v>0.2822016107244265</v>
      </c>
      <c r="G134" s="33">
        <v>0.2703365523502951</v>
      </c>
      <c r="H134" s="33">
        <v>0.2654012817456422</v>
      </c>
      <c r="I134" s="33">
        <v>0.2567339527306166</v>
      </c>
      <c r="J134" s="33">
        <v>0.2727413588397399</v>
      </c>
      <c r="K134" s="33">
        <v>0.27398368265578843</v>
      </c>
      <c r="L134" s="33">
        <v>0.26401869158878505</v>
      </c>
      <c r="M134" s="33">
        <v>0.25898740363517886</v>
      </c>
    </row>
    <row r="135" ht="14.25" customHeight="1">
      <c r="A135" s="11" t="s">
        <v>265</v>
      </c>
      <c r="B135" s="11" t="s">
        <v>266</v>
      </c>
      <c r="C135" s="33">
        <v>0.08222440996907787</v>
      </c>
      <c r="D135" s="33">
        <v>0.08281713780053356</v>
      </c>
      <c r="E135" s="33">
        <v>0.08176358901766777</v>
      </c>
      <c r="F135" s="33">
        <v>0.07531183693683632</v>
      </c>
      <c r="G135" s="33">
        <v>0.07404827222833459</v>
      </c>
      <c r="H135" s="33">
        <v>0.07016720257234726</v>
      </c>
      <c r="I135" s="33">
        <v>0.06836648033362487</v>
      </c>
      <c r="J135" s="33">
        <v>0.09450425750265831</v>
      </c>
      <c r="K135" s="33">
        <v>0.08478250882580564</v>
      </c>
      <c r="L135" s="33">
        <v>0.06530759155760406</v>
      </c>
      <c r="M135" s="33">
        <v>0.06162557360722477</v>
      </c>
    </row>
    <row r="136" ht="14.25" customHeight="1">
      <c r="A136" s="11" t="s">
        <v>267</v>
      </c>
      <c r="B136" s="11" t="s">
        <v>268</v>
      </c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 ht="14.25" customHeight="1">
      <c r="A137" s="11" t="s">
        <v>269</v>
      </c>
      <c r="B137" s="11" t="s">
        <v>270</v>
      </c>
      <c r="C137" s="33">
        <v>0.14475908474875523</v>
      </c>
      <c r="D137" s="33">
        <v>0.14184116682872877</v>
      </c>
      <c r="E137" s="33">
        <v>0.13412836780307083</v>
      </c>
      <c r="F137" s="33">
        <v>0.12279563605626188</v>
      </c>
      <c r="G137" s="33">
        <v>0.11288774243799594</v>
      </c>
      <c r="H137" s="33">
        <v>0.10678144510639648</v>
      </c>
      <c r="I137" s="33">
        <v>0.10758821151967969</v>
      </c>
      <c r="J137" s="33">
        <v>0.11958196333426512</v>
      </c>
      <c r="K137" s="33">
        <v>0.10632832400883611</v>
      </c>
      <c r="L137" s="33">
        <v>0.09798533992238154</v>
      </c>
      <c r="M137" s="33">
        <v>0.09080664183648417</v>
      </c>
    </row>
    <row r="138" ht="14.25" customHeight="1">
      <c r="A138" s="11" t="s">
        <v>271</v>
      </c>
      <c r="B138" s="11" t="s">
        <v>272</v>
      </c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 ht="14.25" customHeight="1">
      <c r="A139" s="11" t="s">
        <v>273</v>
      </c>
      <c r="B139" s="11" t="s">
        <v>274</v>
      </c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 ht="14.25" customHeight="1">
      <c r="A140" s="11" t="s">
        <v>275</v>
      </c>
      <c r="B140" s="11" t="s">
        <v>276</v>
      </c>
      <c r="C140" s="33">
        <v>0.06691940670226278</v>
      </c>
      <c r="D140" s="33">
        <v>0.07026396202374643</v>
      </c>
      <c r="E140" s="33">
        <v>0.08202610131622907</v>
      </c>
      <c r="F140" s="33">
        <v>0.12235058331223946</v>
      </c>
      <c r="G140" s="33">
        <v>0.11289654769098811</v>
      </c>
      <c r="H140" s="33">
        <v>0.09351088359334078</v>
      </c>
      <c r="I140" s="33">
        <v>0.122882255989159</v>
      </c>
      <c r="J140" s="33">
        <v>0.0939260202787128</v>
      </c>
      <c r="K140" s="33">
        <v>0.10292514254239726</v>
      </c>
      <c r="L140" s="33">
        <v>0.08911275870854078</v>
      </c>
      <c r="M140" s="33">
        <v>0.08627021601770114</v>
      </c>
    </row>
    <row r="141" ht="14.25" customHeight="1">
      <c r="A141" s="11" t="s">
        <v>277</v>
      </c>
      <c r="B141" s="11" t="s">
        <v>278</v>
      </c>
      <c r="C141" s="33">
        <v>0.23140326210313078</v>
      </c>
      <c r="D141" s="33">
        <v>0.21508754524242593</v>
      </c>
      <c r="E141" s="33">
        <v>0.2084567434151263</v>
      </c>
      <c r="F141" s="33">
        <v>0.19647282720616954</v>
      </c>
      <c r="G141" s="33">
        <v>0.18885217569917376</v>
      </c>
      <c r="H141" s="33">
        <v>0.17624596611013685</v>
      </c>
      <c r="I141" s="33">
        <v>0.17332085707819167</v>
      </c>
      <c r="J141" s="33">
        <v>0.20024189611581872</v>
      </c>
      <c r="K141" s="33">
        <v>0.1830856179911672</v>
      </c>
      <c r="L141" s="33">
        <v>0.17217113320739835</v>
      </c>
      <c r="M141" s="33">
        <v>0.17123969561368155</v>
      </c>
    </row>
    <row r="142" ht="14.25" customHeight="1">
      <c r="A142" s="11" t="s">
        <v>279</v>
      </c>
      <c r="B142" s="11" t="s">
        <v>280</v>
      </c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 ht="14.25" customHeight="1">
      <c r="A143" s="11" t="s">
        <v>281</v>
      </c>
      <c r="B143" s="11" t="s">
        <v>282</v>
      </c>
      <c r="C143" s="33">
        <v>0.18659570941015216</v>
      </c>
      <c r="D143" s="33">
        <v>0.18617299511100738</v>
      </c>
      <c r="E143" s="33">
        <v>0.1804757419164254</v>
      </c>
      <c r="F143" s="33">
        <v>0.17602047498666312</v>
      </c>
      <c r="G143" s="33">
        <v>0.16845222258623363</v>
      </c>
      <c r="H143" s="33">
        <v>0.1667754427987909</v>
      </c>
      <c r="I143" s="33">
        <v>0.16413612442750644</v>
      </c>
      <c r="J143" s="33">
        <v>0.19162027355439487</v>
      </c>
      <c r="K143" s="33">
        <v>0.17663317902019637</v>
      </c>
      <c r="L143" s="33">
        <v>0.16866344921389384</v>
      </c>
      <c r="M143" s="33">
        <v>0.16342250906738726</v>
      </c>
    </row>
    <row r="144" ht="14.25" customHeight="1">
      <c r="A144" s="11" t="s">
        <v>283</v>
      </c>
      <c r="B144" s="11" t="s">
        <v>284</v>
      </c>
      <c r="C144" s="33">
        <v>0.8344889639354821</v>
      </c>
      <c r="D144" s="33">
        <v>0.82284259114812</v>
      </c>
      <c r="E144" s="33">
        <v>0.8191148374032471</v>
      </c>
      <c r="F144" s="33">
        <v>0.8277014899713229</v>
      </c>
      <c r="G144" s="33">
        <v>0.8358715947126297</v>
      </c>
      <c r="H144" s="33">
        <v>0.8450745187783767</v>
      </c>
      <c r="I144" s="33">
        <v>0.8565874171962239</v>
      </c>
      <c r="J144" s="33">
        <v>0.8624469469222592</v>
      </c>
      <c r="K144" s="33">
        <v>0.862624207470118</v>
      </c>
      <c r="L144" s="33">
        <v>0.8616003687754761</v>
      </c>
      <c r="M144" s="33">
        <v>0.8570231637471575</v>
      </c>
    </row>
    <row r="145" ht="14.25" customHeight="1">
      <c r="A145" s="11" t="s">
        <v>285</v>
      </c>
      <c r="B145" s="11" t="s">
        <v>286</v>
      </c>
      <c r="C145" s="33">
        <v>0.3443948577162807</v>
      </c>
      <c r="D145" s="33">
        <v>0.3102847403689884</v>
      </c>
      <c r="E145" s="33">
        <v>0.2777085126215863</v>
      </c>
      <c r="F145" s="33">
        <v>0.22940242433308522</v>
      </c>
      <c r="G145" s="33">
        <v>0.1864700836214197</v>
      </c>
      <c r="H145" s="33">
        <v>0.152958915353637</v>
      </c>
      <c r="I145" s="33">
        <v>0.1271843996814809</v>
      </c>
      <c r="J145" s="33">
        <v>0.14811316273149305</v>
      </c>
      <c r="K145" s="33">
        <v>0.2205252550614367</v>
      </c>
      <c r="L145" s="33">
        <v>0.19730127503738673</v>
      </c>
      <c r="M145" s="33">
        <v>0.19077893364975926</v>
      </c>
    </row>
    <row r="146" ht="14.25" customHeight="1">
      <c r="A146" s="11" t="s">
        <v>287</v>
      </c>
      <c r="B146" s="11" t="s">
        <v>288</v>
      </c>
      <c r="C146" s="33">
        <v>0.3872953099790442</v>
      </c>
      <c r="D146" s="33">
        <v>0.35694739937384323</v>
      </c>
      <c r="E146" s="33">
        <v>0.3630524029656661</v>
      </c>
      <c r="F146" s="33">
        <v>0.38335359259226154</v>
      </c>
      <c r="G146" s="33">
        <v>0.37891694182258834</v>
      </c>
      <c r="H146" s="33">
        <v>0.366819426436704</v>
      </c>
      <c r="I146" s="33">
        <v>0.37408537846445905</v>
      </c>
      <c r="J146" s="33">
        <v>0.39071907304328074</v>
      </c>
      <c r="K146" s="33">
        <v>0.3864876984181931</v>
      </c>
      <c r="L146" s="33">
        <v>0.37292110257718225</v>
      </c>
      <c r="M146" s="33">
        <v>0.3679546891198261</v>
      </c>
    </row>
    <row r="147" ht="14.25" customHeight="1">
      <c r="A147" s="11" t="s">
        <v>289</v>
      </c>
      <c r="B147" s="11" t="s">
        <v>290</v>
      </c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 ht="14.25" customHeight="1">
      <c r="A148" s="11" t="s">
        <v>291</v>
      </c>
      <c r="B148" s="11" t="s">
        <v>292</v>
      </c>
      <c r="C148" s="33">
        <v>0.391128679045417</v>
      </c>
      <c r="D148" s="33">
        <v>0.3756706676849344</v>
      </c>
      <c r="E148" s="33">
        <v>0.3621668393856289</v>
      </c>
      <c r="F148" s="33">
        <v>0.3527967772731016</v>
      </c>
      <c r="G148" s="33">
        <v>0.34118923300514004</v>
      </c>
      <c r="H148" s="33">
        <v>0.30707901399999665</v>
      </c>
      <c r="I148" s="33">
        <v>0.2829780262446221</v>
      </c>
      <c r="J148" s="33">
        <v>0.28608315647162047</v>
      </c>
      <c r="K148" s="33">
        <v>0.24769651632838066</v>
      </c>
      <c r="L148" s="33">
        <v>0.2419494968285359</v>
      </c>
      <c r="M148" s="33">
        <v>0.23638730461940308</v>
      </c>
    </row>
    <row r="149" ht="14.25" customHeight="1">
      <c r="A149" s="11" t="s">
        <v>494</v>
      </c>
      <c r="B149" s="11" t="s">
        <v>294</v>
      </c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 ht="14.25" customHeight="1">
      <c r="A150" s="11" t="s">
        <v>295</v>
      </c>
      <c r="B150" s="11" t="s">
        <v>296</v>
      </c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 ht="14.25" customHeight="1">
      <c r="A151" s="11" t="s">
        <v>297</v>
      </c>
      <c r="B151" s="11" t="s">
        <v>298</v>
      </c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 ht="14.25" customHeight="1">
      <c r="A152" s="11" t="s">
        <v>299</v>
      </c>
      <c r="B152" s="11" t="s">
        <v>300</v>
      </c>
      <c r="C152" s="33">
        <v>0.17975670013246092</v>
      </c>
      <c r="D152" s="33">
        <v>0.15248960636220288</v>
      </c>
      <c r="E152" s="33">
        <v>0.14610568023543558</v>
      </c>
      <c r="F152" s="33">
        <v>0.12613385099584903</v>
      </c>
      <c r="G152" s="33">
        <v>0.11757737607548463</v>
      </c>
      <c r="H152" s="33">
        <v>0.1518584728644987</v>
      </c>
      <c r="I152" s="33">
        <v>0.16031148872168421</v>
      </c>
      <c r="J152" s="33">
        <v>0.1698504865320188</v>
      </c>
      <c r="K152" s="33">
        <v>0.15183816631523891</v>
      </c>
      <c r="L152" s="33">
        <v>0.1376117043276324</v>
      </c>
      <c r="M152" s="33">
        <v>0.13093689826793076</v>
      </c>
    </row>
    <row r="153" ht="14.25" customHeight="1">
      <c r="A153" s="11" t="s">
        <v>301</v>
      </c>
      <c r="B153" s="11" t="s">
        <v>302</v>
      </c>
      <c r="C153" s="33">
        <v>0.8234086001821662</v>
      </c>
      <c r="D153" s="33">
        <v>0.8117227628832332</v>
      </c>
      <c r="E153" s="33">
        <v>0.8131488670547301</v>
      </c>
      <c r="F153" s="33">
        <v>0.8127682763652816</v>
      </c>
      <c r="G153" s="33">
        <v>0.8117282006261155</v>
      </c>
      <c r="H153" s="33">
        <v>0.800412080361581</v>
      </c>
      <c r="I153" s="33">
        <v>0.7931103830350876</v>
      </c>
      <c r="J153" s="33">
        <v>0.7896313862605796</v>
      </c>
      <c r="K153" s="33">
        <v>0.795670633610615</v>
      </c>
      <c r="L153" s="33">
        <v>0.7761019177981884</v>
      </c>
      <c r="M153" s="33">
        <v>0.7800055971980798</v>
      </c>
    </row>
    <row r="154" ht="14.25" customHeight="1">
      <c r="A154" s="11" t="s">
        <v>303</v>
      </c>
      <c r="B154" s="11" t="s">
        <v>304</v>
      </c>
      <c r="C154" s="33">
        <v>0.5944003314914731</v>
      </c>
      <c r="D154" s="33">
        <v>0.5772112658349519</v>
      </c>
      <c r="E154" s="33">
        <v>0.5785765482124022</v>
      </c>
      <c r="F154" s="33">
        <v>0.5925653281521895</v>
      </c>
      <c r="G154" s="33">
        <v>0.5950838215108194</v>
      </c>
      <c r="H154" s="33">
        <v>0.5965796675417493</v>
      </c>
      <c r="I154" s="33">
        <v>0.5984726842733529</v>
      </c>
      <c r="J154" s="33">
        <v>0.616105832962322</v>
      </c>
      <c r="K154" s="33">
        <v>0.6116020249509595</v>
      </c>
      <c r="L154" s="33">
        <v>0.6011692578342372</v>
      </c>
      <c r="M154" s="33">
        <v>0.5933982922341245</v>
      </c>
    </row>
    <row r="155" ht="14.25" customHeight="1">
      <c r="A155" s="11" t="s">
        <v>305</v>
      </c>
      <c r="B155" s="11" t="s">
        <v>306</v>
      </c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 ht="14.25" customHeight="1">
      <c r="A156" s="11" t="s">
        <v>307</v>
      </c>
      <c r="B156" s="11" t="s">
        <v>308</v>
      </c>
      <c r="C156" s="33">
        <v>0.34276878866791616</v>
      </c>
      <c r="D156" s="33">
        <v>0.3257024962874641</v>
      </c>
      <c r="E156" s="33">
        <v>0.30668659641636636</v>
      </c>
      <c r="F156" s="33">
        <v>0.2842687006224749</v>
      </c>
      <c r="G156" s="33">
        <v>0.26783337365335425</v>
      </c>
      <c r="H156" s="33">
        <v>0.23827982978020162</v>
      </c>
      <c r="I156" s="33">
        <v>0.20504995414146493</v>
      </c>
      <c r="J156" s="33">
        <v>0.19876080458506454</v>
      </c>
      <c r="K156" s="33">
        <v>0.18582917644399138</v>
      </c>
      <c r="L156" s="33">
        <v>0.17562044437863286</v>
      </c>
      <c r="M156" s="33">
        <v>0.16170559295954406</v>
      </c>
    </row>
    <row r="157" ht="14.25" customHeight="1">
      <c r="A157" s="11" t="s">
        <v>309</v>
      </c>
      <c r="B157" s="11" t="s">
        <v>310</v>
      </c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 ht="14.25" customHeight="1">
      <c r="A158" s="11" t="s">
        <v>311</v>
      </c>
      <c r="B158" s="11" t="s">
        <v>312</v>
      </c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 ht="14.25" customHeight="1">
      <c r="A159" s="11" t="s">
        <v>313</v>
      </c>
      <c r="B159" s="11" t="s">
        <v>314</v>
      </c>
      <c r="C159" s="33">
        <v>0.11161000225150006</v>
      </c>
      <c r="D159" s="33">
        <v>0.11704305014541946</v>
      </c>
      <c r="E159" s="33">
        <v>0.13933781703437645</v>
      </c>
      <c r="F159" s="33">
        <v>0.14508663111929287</v>
      </c>
      <c r="G159" s="33">
        <v>0.1559814291452413</v>
      </c>
      <c r="H159" s="33">
        <v>0.16280815832538117</v>
      </c>
      <c r="I159" s="33">
        <v>0.16006440498114355</v>
      </c>
      <c r="J159" s="33">
        <v>0.16921611240180648</v>
      </c>
      <c r="K159" s="33">
        <v>0.15057805834250526</v>
      </c>
      <c r="L159" s="33">
        <v>0.14451489809430174</v>
      </c>
      <c r="M159" s="33">
        <v>0.14380763409541863</v>
      </c>
    </row>
    <row r="160" ht="14.25" customHeight="1">
      <c r="A160" s="11" t="s">
        <v>315</v>
      </c>
      <c r="B160" s="11" t="s">
        <v>316</v>
      </c>
      <c r="C160" s="33">
        <v>0.47323328175456914</v>
      </c>
      <c r="D160" s="33">
        <v>0.4580412209920129</v>
      </c>
      <c r="E160" s="33">
        <v>0.4364625008583276</v>
      </c>
      <c r="F160" s="33">
        <v>0.4093640065353027</v>
      </c>
      <c r="G160" s="33">
        <v>0.39995484432785694</v>
      </c>
      <c r="H160" s="33">
        <v>0.3971415175217606</v>
      </c>
      <c r="I160" s="33">
        <v>0.4212382676417766</v>
      </c>
      <c r="J160" s="33">
        <v>0.4197592436408687</v>
      </c>
      <c r="K160" s="33">
        <v>0.3625256111078613</v>
      </c>
      <c r="L160" s="33">
        <v>0.3750488744679982</v>
      </c>
      <c r="M160" s="33">
        <v>0.37573446498382157</v>
      </c>
    </row>
    <row r="161" ht="14.25" customHeight="1">
      <c r="A161" s="11" t="s">
        <v>317</v>
      </c>
      <c r="B161" s="11" t="s">
        <v>318</v>
      </c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 ht="14.25" customHeight="1">
      <c r="A162" s="11" t="s">
        <v>319</v>
      </c>
      <c r="B162" s="11" t="s">
        <v>320</v>
      </c>
      <c r="C162" s="33">
        <v>0.20583015680993358</v>
      </c>
      <c r="D162" s="33">
        <v>0.21370115853563443</v>
      </c>
      <c r="E162" s="33">
        <v>0.23902989881112033</v>
      </c>
      <c r="F162" s="33">
        <v>0.24714803533175847</v>
      </c>
      <c r="G162" s="33">
        <v>0.2658131855085877</v>
      </c>
      <c r="H162" s="33">
        <v>0.27273249459500426</v>
      </c>
      <c r="I162" s="33">
        <v>0.26248474396594257</v>
      </c>
      <c r="J162" s="33">
        <v>0.2720158428196745</v>
      </c>
      <c r="K162" s="33">
        <v>0.276011704667476</v>
      </c>
      <c r="L162" s="33">
        <v>0.2562002728403538</v>
      </c>
      <c r="M162" s="33" t="e">
        <v>#DIV/0!</v>
      </c>
    </row>
    <row r="163" ht="14.25" customHeight="1">
      <c r="A163" s="11" t="s">
        <v>321</v>
      </c>
      <c r="B163" s="11" t="s">
        <v>322</v>
      </c>
      <c r="C163" s="33">
        <v>0.07420244605940987</v>
      </c>
      <c r="D163" s="33">
        <v>0.08424246274879353</v>
      </c>
      <c r="E163" s="33">
        <v>0.06918202583946846</v>
      </c>
      <c r="F163" s="33">
        <v>0.07599031563478474</v>
      </c>
      <c r="G163" s="33">
        <v>0.0781072168403903</v>
      </c>
      <c r="H163" s="33">
        <v>0.07030999295643925</v>
      </c>
      <c r="I163" s="33">
        <v>0.0770269614938669</v>
      </c>
      <c r="J163" s="33">
        <v>0.16625570631876802</v>
      </c>
      <c r="K163" s="33">
        <v>0.11988238929424061</v>
      </c>
      <c r="L163" s="33">
        <v>0.09749500405920189</v>
      </c>
      <c r="M163" s="33">
        <v>0.08132366567960661</v>
      </c>
    </row>
    <row r="164" ht="14.25" customHeight="1">
      <c r="A164" s="11" t="s">
        <v>323</v>
      </c>
      <c r="B164" s="11" t="s">
        <v>324</v>
      </c>
      <c r="C164" s="33">
        <v>0.6353821228969866</v>
      </c>
      <c r="D164" s="33">
        <v>0.5765940715012781</v>
      </c>
      <c r="E164" s="33">
        <v>0.5586133082746273</v>
      </c>
      <c r="F164" s="33">
        <v>0.541705738500279</v>
      </c>
      <c r="G164" s="33">
        <v>0.5329593222379673</v>
      </c>
      <c r="H164" s="33">
        <v>0.5480221047969984</v>
      </c>
      <c r="I164" s="33">
        <v>0.5364356398485864</v>
      </c>
      <c r="J164" s="33">
        <v>0.5654128514522271</v>
      </c>
      <c r="K164" s="33">
        <v>0.5713170664374907</v>
      </c>
      <c r="L164" s="33">
        <v>0.5636001074711724</v>
      </c>
      <c r="M164" s="33">
        <v>0.5616019737259808</v>
      </c>
    </row>
    <row r="165" ht="14.25" customHeight="1">
      <c r="A165" s="11" t="s">
        <v>325</v>
      </c>
      <c r="B165" s="11" t="s">
        <v>326</v>
      </c>
      <c r="C165" s="33">
        <v>0.07331276122894032</v>
      </c>
      <c r="D165" s="33">
        <v>0.08461728840434413</v>
      </c>
      <c r="E165" s="33">
        <v>0.07678272242152742</v>
      </c>
      <c r="F165" s="33">
        <v>0.08494668863214584</v>
      </c>
      <c r="G165" s="33">
        <v>0.08055405353983447</v>
      </c>
      <c r="H165" s="33">
        <v>0.08337019676631205</v>
      </c>
      <c r="I165" s="33">
        <v>0.08467699390916503</v>
      </c>
      <c r="J165" s="33">
        <v>0.0941958010882911</v>
      </c>
      <c r="K165" s="33">
        <v>0.08810616197280846</v>
      </c>
      <c r="L165" s="33">
        <v>0.08695115771849045</v>
      </c>
      <c r="M165" s="33">
        <v>0.07547734967434824</v>
      </c>
    </row>
    <row r="166" ht="14.25" customHeight="1">
      <c r="A166" s="11" t="s">
        <v>327</v>
      </c>
      <c r="B166" s="11" t="s">
        <v>328</v>
      </c>
      <c r="C166" s="33">
        <v>0.18921450660817976</v>
      </c>
      <c r="D166" s="33">
        <v>0.176229356628521</v>
      </c>
      <c r="E166" s="33">
        <v>0.17276032177178569</v>
      </c>
      <c r="F166" s="33">
        <v>0.17345922782007847</v>
      </c>
      <c r="G166" s="33">
        <v>0.17236586640917836</v>
      </c>
      <c r="H166" s="33">
        <v>0.15207179865184792</v>
      </c>
      <c r="I166" s="33">
        <v>0.13974328291763563</v>
      </c>
      <c r="J166" s="33">
        <v>0.2545013049301441</v>
      </c>
      <c r="K166" s="33">
        <v>0.16135268977681297</v>
      </c>
      <c r="L166" s="33">
        <v>0.16739182401308397</v>
      </c>
      <c r="M166" s="33">
        <v>0.17755542619966286</v>
      </c>
    </row>
    <row r="167" ht="14.25" customHeight="1">
      <c r="A167" s="11" t="s">
        <v>329</v>
      </c>
      <c r="B167" s="11" t="s">
        <v>330</v>
      </c>
      <c r="C167" s="33">
        <v>0.22975810395760904</v>
      </c>
      <c r="D167" s="33">
        <v>0.21208252424825175</v>
      </c>
      <c r="E167" s="33">
        <v>0.18637032900081235</v>
      </c>
      <c r="F167" s="33">
        <v>0.16248544794282932</v>
      </c>
      <c r="G167" s="33">
        <v>0.14067362591243066</v>
      </c>
      <c r="H167" s="33">
        <v>0.12668609877039852</v>
      </c>
      <c r="I167" s="33">
        <v>0.1182065017617723</v>
      </c>
      <c r="J167" s="33">
        <v>0.15690389796289783</v>
      </c>
      <c r="K167" s="33">
        <v>0.15333491816348974</v>
      </c>
      <c r="L167" s="33">
        <v>0.12766442433059969</v>
      </c>
      <c r="M167" s="33">
        <v>0.11126714350327402</v>
      </c>
    </row>
    <row r="168" ht="14.25" customHeight="1">
      <c r="A168" s="11" t="s">
        <v>331</v>
      </c>
      <c r="B168" s="11" t="s">
        <v>332</v>
      </c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 ht="14.25" customHeight="1">
      <c r="A169" s="11" t="s">
        <v>333</v>
      </c>
      <c r="B169" s="11" t="s">
        <v>334</v>
      </c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 ht="14.25" customHeight="1">
      <c r="A170" s="11" t="s">
        <v>335</v>
      </c>
      <c r="B170" s="11" t="s">
        <v>336</v>
      </c>
      <c r="C170" s="33">
        <v>0.14436350576035803</v>
      </c>
      <c r="D170" s="33">
        <v>0.14051487762770384</v>
      </c>
      <c r="E170" s="33">
        <v>0.12123168186123863</v>
      </c>
      <c r="F170" s="33">
        <v>0.11946485610571443</v>
      </c>
      <c r="G170" s="33">
        <v>0.10944518401201081</v>
      </c>
      <c r="H170" s="33">
        <v>0.09336372502324737</v>
      </c>
      <c r="I170" s="33">
        <v>0.08422231538392246</v>
      </c>
      <c r="J170" s="33">
        <v>0.09006163092306413</v>
      </c>
      <c r="K170" s="33">
        <v>0.07999330211158823</v>
      </c>
      <c r="L170" s="33">
        <v>0.061192737482643846</v>
      </c>
      <c r="M170" s="33">
        <v>0.060813153579111025</v>
      </c>
    </row>
    <row r="171" ht="14.25" customHeight="1">
      <c r="A171" s="11" t="s">
        <v>337</v>
      </c>
      <c r="B171" s="11" t="s">
        <v>338</v>
      </c>
      <c r="C171" s="33">
        <v>0.004386380468796915</v>
      </c>
      <c r="D171" s="33">
        <v>0.003755937583742946</v>
      </c>
      <c r="E171" s="33">
        <v>0.003097181713252822</v>
      </c>
      <c r="F171" s="33">
        <v>0.003158437573165115</v>
      </c>
      <c r="G171" s="33">
        <v>0.0030183791181933716</v>
      </c>
      <c r="H171" s="33">
        <v>0.002600048801950541</v>
      </c>
      <c r="I171" s="33">
        <v>0.002331307077897911</v>
      </c>
      <c r="J171" s="33">
        <v>0.0026728694953884204</v>
      </c>
      <c r="K171" s="33">
        <v>0.002476730574546063</v>
      </c>
      <c r="L171" s="33">
        <v>0.002567315581412695</v>
      </c>
      <c r="M171" s="33">
        <v>0.0025672231685872115</v>
      </c>
    </row>
    <row r="172" ht="14.25" customHeight="1">
      <c r="A172" s="11" t="s">
        <v>339</v>
      </c>
      <c r="B172" s="11" t="s">
        <v>340</v>
      </c>
      <c r="C172" s="33">
        <v>0.029153786114990792</v>
      </c>
      <c r="D172" s="33">
        <v>0.03204143308538898</v>
      </c>
      <c r="E172" s="33">
        <v>0.036684861703332926</v>
      </c>
      <c r="F172" s="33">
        <v>0.037732907945452136</v>
      </c>
      <c r="G172" s="33">
        <v>0.037762882453172955</v>
      </c>
      <c r="H172" s="33">
        <v>0.0394707278524773</v>
      </c>
      <c r="I172" s="33">
        <v>0.03767365871928457</v>
      </c>
      <c r="J172" s="33">
        <v>0.0405393404657927</v>
      </c>
      <c r="K172" s="33">
        <v>0.03657875398975057</v>
      </c>
      <c r="L172" s="33">
        <v>0.029458033273513127</v>
      </c>
      <c r="M172" s="33">
        <v>0.027306226072075397</v>
      </c>
    </row>
    <row r="173" ht="14.25" customHeight="1">
      <c r="A173" s="11" t="s">
        <v>341</v>
      </c>
      <c r="B173" s="11" t="s">
        <v>342</v>
      </c>
      <c r="C173" s="33">
        <v>0.03585478067374689</v>
      </c>
      <c r="D173" s="33">
        <v>0.02481102936958566</v>
      </c>
      <c r="E173" s="33">
        <v>0.02775885902382063</v>
      </c>
      <c r="F173" s="33">
        <v>0.028101505807491992</v>
      </c>
      <c r="G173" s="33">
        <v>0.025288682226167005</v>
      </c>
      <c r="H173" s="33">
        <v>0.020334641364992558</v>
      </c>
      <c r="I173" s="33">
        <v>0.019233295006532456</v>
      </c>
      <c r="J173" s="33">
        <v>0.02157593176296756</v>
      </c>
      <c r="K173" s="33">
        <v>0.012306864409350271</v>
      </c>
      <c r="L173" s="33">
        <v>0.018420051089368807</v>
      </c>
      <c r="M173" s="33">
        <v>0.02555755925580991</v>
      </c>
    </row>
    <row r="174" ht="14.25" customHeight="1">
      <c r="A174" s="11" t="s">
        <v>343</v>
      </c>
      <c r="B174" s="11" t="s">
        <v>344</v>
      </c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 ht="14.25" customHeight="1">
      <c r="A175" s="11" t="s">
        <v>345</v>
      </c>
      <c r="B175" s="11" t="s">
        <v>346</v>
      </c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 ht="14.25" customHeight="1">
      <c r="A176" s="11" t="s">
        <v>347</v>
      </c>
      <c r="B176" s="11" t="s">
        <v>348</v>
      </c>
      <c r="C176" s="33">
        <v>0.0561412679043401</v>
      </c>
      <c r="D176" s="33">
        <v>0.05277826725271861</v>
      </c>
      <c r="E176" s="33">
        <v>0.057223510193907326</v>
      </c>
      <c r="F176" s="33">
        <v>0.056917939756331165</v>
      </c>
      <c r="G176" s="33">
        <v>0.05357837173683827</v>
      </c>
      <c r="H176" s="33">
        <v>0.049756147271888165</v>
      </c>
      <c r="I176" s="33">
        <v>0.04595566838578515</v>
      </c>
      <c r="J176" s="33">
        <v>0.056951421222508146</v>
      </c>
      <c r="K176" s="33">
        <v>0.04799176672177132</v>
      </c>
      <c r="L176" s="33">
        <v>0.039744095048357735</v>
      </c>
      <c r="M176" s="33">
        <v>0.034331176644503886</v>
      </c>
    </row>
    <row r="177" ht="14.25" customHeight="1">
      <c r="A177" s="11" t="s">
        <v>349</v>
      </c>
      <c r="B177" s="11" t="s">
        <v>350</v>
      </c>
      <c r="C177" s="33">
        <v>0.7807024822854313</v>
      </c>
      <c r="D177" s="33">
        <v>0.7716684995738058</v>
      </c>
      <c r="E177" s="33">
        <v>0.7577920809699712</v>
      </c>
      <c r="F177" s="33">
        <v>0.7538170253637898</v>
      </c>
      <c r="G177" s="33">
        <v>0.7542016715989345</v>
      </c>
      <c r="H177" s="33">
        <v>0.7287751403891839</v>
      </c>
      <c r="I177" s="33">
        <v>0.7041192883236308</v>
      </c>
      <c r="J177" s="33">
        <v>0.7245307881862105</v>
      </c>
      <c r="K177" s="33">
        <v>0.7112866243636512</v>
      </c>
      <c r="L177" s="33">
        <v>0.7019573426476076</v>
      </c>
      <c r="M177" s="33">
        <v>0.6902628819897738</v>
      </c>
    </row>
    <row r="178" ht="14.25" customHeight="1">
      <c r="A178" s="11" t="s">
        <v>351</v>
      </c>
      <c r="B178" s="11" t="s">
        <v>352</v>
      </c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 ht="14.25" customHeight="1">
      <c r="A179" s="11" t="s">
        <v>353</v>
      </c>
      <c r="B179" s="11" t="s">
        <v>354</v>
      </c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 ht="14.25" customHeight="1">
      <c r="A180" s="11" t="s">
        <v>355</v>
      </c>
      <c r="B180" s="11" t="s">
        <v>356</v>
      </c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 ht="14.25" customHeight="1">
      <c r="A181" s="11" t="s">
        <v>357</v>
      </c>
      <c r="B181" s="11" t="s">
        <v>358</v>
      </c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 ht="14.25" customHeight="1">
      <c r="A182" s="11" t="s">
        <v>359</v>
      </c>
      <c r="B182" s="11" t="s">
        <v>360</v>
      </c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 ht="14.25" customHeight="1">
      <c r="A183" s="11" t="s">
        <v>361</v>
      </c>
      <c r="B183" s="11" t="s">
        <v>362</v>
      </c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 ht="14.25" customHeight="1">
      <c r="A184" s="11" t="s">
        <v>363</v>
      </c>
      <c r="B184" s="11" t="s">
        <v>364</v>
      </c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 ht="14.25" customHeight="1">
      <c r="A185" s="11" t="s">
        <v>365</v>
      </c>
      <c r="B185" s="11" t="s">
        <v>366</v>
      </c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 ht="14.25" customHeight="1">
      <c r="A186" s="11" t="s">
        <v>367</v>
      </c>
      <c r="B186" s="11" t="s">
        <v>368</v>
      </c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 ht="14.25" customHeight="1">
      <c r="A187" s="11" t="s">
        <v>369</v>
      </c>
      <c r="B187" s="11" t="s">
        <v>370</v>
      </c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 ht="14.25" customHeight="1">
      <c r="A188" s="11" t="s">
        <v>371</v>
      </c>
      <c r="B188" s="11" t="s">
        <v>372</v>
      </c>
      <c r="C188" s="33">
        <v>0.05750189954615863</v>
      </c>
      <c r="D188" s="33">
        <v>0.060426201852376814</v>
      </c>
      <c r="E188" s="33">
        <v>0.057321051288920545</v>
      </c>
      <c r="F188" s="33">
        <v>0.05756791729831146</v>
      </c>
      <c r="G188" s="33">
        <v>0.06042513310541386</v>
      </c>
      <c r="H188" s="33">
        <v>0.06170126875748301</v>
      </c>
      <c r="I188" s="33">
        <v>0.057617275599475</v>
      </c>
      <c r="J188" s="33">
        <v>0.07567984888475043</v>
      </c>
      <c r="K188" s="33">
        <v>0.06721671217733183</v>
      </c>
      <c r="L188" s="33">
        <v>0.057087907184346434</v>
      </c>
      <c r="M188" s="33">
        <v>0.05001026041978847</v>
      </c>
    </row>
    <row r="189" ht="14.25" customHeight="1">
      <c r="A189" s="11" t="s">
        <v>373</v>
      </c>
      <c r="B189" s="11" t="s">
        <v>374</v>
      </c>
      <c r="C189" s="33">
        <v>0.6835957393993991</v>
      </c>
      <c r="D189" s="33">
        <v>0.6404988942557511</v>
      </c>
      <c r="E189" s="33">
        <v>0.5934387982098959</v>
      </c>
      <c r="F189" s="33">
        <v>0.5376135951210138</v>
      </c>
      <c r="G189" s="33">
        <v>0.45850507937104795</v>
      </c>
      <c r="H189" s="33">
        <v>0.4027123591050771</v>
      </c>
      <c r="I189" s="33">
        <v>0.3806527572726395</v>
      </c>
      <c r="J189" s="33">
        <v>0.3777268783256844</v>
      </c>
      <c r="K189" s="33">
        <v>0.3638981408484097</v>
      </c>
      <c r="L189" s="33">
        <v>0.35839692816518026</v>
      </c>
      <c r="M189" s="33">
        <v>0.3518372795522274</v>
      </c>
    </row>
    <row r="190" ht="14.25" customHeight="1">
      <c r="A190" s="11" t="s">
        <v>375</v>
      </c>
      <c r="B190" s="11" t="s">
        <v>376</v>
      </c>
      <c r="C190" s="33">
        <v>0.22598197401910539</v>
      </c>
      <c r="D190" s="33">
        <v>0.19573931386275706</v>
      </c>
      <c r="E190" s="33">
        <v>0.17938846073985354</v>
      </c>
      <c r="F190" s="33">
        <v>0.1552361616696032</v>
      </c>
      <c r="G190" s="33">
        <v>0.1372983781304923</v>
      </c>
      <c r="H190" s="33">
        <v>0.12966005753454826</v>
      </c>
      <c r="I190" s="33">
        <v>0.10892123263117141</v>
      </c>
      <c r="J190" s="33">
        <v>0.09482113981474712</v>
      </c>
      <c r="K190" s="33">
        <v>0.10478373162834281</v>
      </c>
      <c r="L190" s="33">
        <v>0.0889988318898184</v>
      </c>
      <c r="M190" s="33">
        <v>0.08900919184572562</v>
      </c>
    </row>
    <row r="191" ht="14.25" customHeight="1">
      <c r="A191" s="11" t="s">
        <v>377</v>
      </c>
      <c r="B191" s="11" t="s">
        <v>378</v>
      </c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 ht="14.25" customHeight="1">
      <c r="A192" s="11" t="s">
        <v>379</v>
      </c>
      <c r="B192" s="11" t="s">
        <v>380</v>
      </c>
      <c r="C192" s="33">
        <v>0.5692803122123582</v>
      </c>
      <c r="D192" s="33">
        <v>0.5501365064472129</v>
      </c>
      <c r="E192" s="33">
        <v>0.7073712034833813</v>
      </c>
      <c r="F192" s="33">
        <v>0.6698482871963433</v>
      </c>
      <c r="G192" s="33">
        <v>0.659720915660199</v>
      </c>
      <c r="H192" s="33">
        <v>0.6501620011911852</v>
      </c>
      <c r="I192" s="33">
        <v>0.633205977783303</v>
      </c>
      <c r="J192" s="33">
        <v>0.6497729829241373</v>
      </c>
      <c r="K192" s="33">
        <v>0.6423912287563854</v>
      </c>
      <c r="L192" s="33">
        <v>0.6368601005904003</v>
      </c>
      <c r="M192" s="33">
        <v>0.6334720790187751</v>
      </c>
    </row>
    <row r="193" ht="14.25" customHeight="1">
      <c r="A193" s="11" t="s">
        <v>381</v>
      </c>
      <c r="B193" s="11" t="s">
        <v>382</v>
      </c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 ht="14.25" customHeight="1">
      <c r="A194" s="11" t="s">
        <v>383</v>
      </c>
      <c r="B194" s="11" t="s">
        <v>384</v>
      </c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 ht="14.25" customHeight="1">
      <c r="A195" s="11" t="s">
        <v>385</v>
      </c>
      <c r="B195" s="11" t="s">
        <v>386</v>
      </c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 ht="14.25" customHeight="1">
      <c r="A196" s="11" t="s">
        <v>387</v>
      </c>
      <c r="B196" s="11" t="s">
        <v>388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 ht="14.25" customHeight="1">
      <c r="A197" s="11" t="s">
        <v>389</v>
      </c>
      <c r="B197" s="11" t="s">
        <v>390</v>
      </c>
      <c r="C197" s="33">
        <v>0.5799926151637604</v>
      </c>
      <c r="D197" s="33">
        <v>0.5751501393252699</v>
      </c>
      <c r="E197" s="33">
        <v>0.5760353795413956</v>
      </c>
      <c r="F197" s="33">
        <v>0.5686273264509656</v>
      </c>
      <c r="G197" s="33">
        <v>0.5838257770297445</v>
      </c>
      <c r="H197" s="33">
        <v>0.551979899739709</v>
      </c>
      <c r="I197" s="33">
        <v>0.5519802197737812</v>
      </c>
      <c r="J197" s="33">
        <v>0.6549037435155268</v>
      </c>
      <c r="K197" s="33">
        <v>0.6662152861323589</v>
      </c>
      <c r="L197" s="33">
        <v>0.6903741142338878</v>
      </c>
      <c r="M197" s="33">
        <v>0.6918455474444918</v>
      </c>
    </row>
    <row r="198" ht="14.25" customHeight="1">
      <c r="A198" s="11" t="s">
        <v>391</v>
      </c>
      <c r="B198" s="11" t="s">
        <v>392</v>
      </c>
      <c r="C198" s="33">
        <v>0.9157367039924469</v>
      </c>
      <c r="D198" s="33">
        <v>0.9087816142096422</v>
      </c>
      <c r="E198" s="33">
        <v>0.8914396560158853</v>
      </c>
      <c r="F198" s="33">
        <v>0.8812354229815</v>
      </c>
      <c r="G198" s="33">
        <v>0.8814013048520658</v>
      </c>
      <c r="H198" s="33">
        <v>0.8715102549700066</v>
      </c>
      <c r="I198" s="33">
        <v>0.8602888697944802</v>
      </c>
      <c r="J198" s="33">
        <v>0.8565214606632863</v>
      </c>
      <c r="K198" s="33">
        <v>0.8526182023798787</v>
      </c>
      <c r="L198" s="33">
        <v>0.8520097459471712</v>
      </c>
      <c r="M198" s="33">
        <v>0.8504502541491498</v>
      </c>
    </row>
    <row r="199" ht="14.25" customHeight="1">
      <c r="A199" s="11" t="s">
        <v>393</v>
      </c>
      <c r="B199" s="11" t="s">
        <v>394</v>
      </c>
      <c r="C199" s="33">
        <v>0.37024231237518074</v>
      </c>
      <c r="D199" s="33">
        <v>0.3775791019215604</v>
      </c>
      <c r="E199" s="33">
        <v>0.3830001982651625</v>
      </c>
      <c r="F199" s="33">
        <v>0.39255199649032513</v>
      </c>
      <c r="G199" s="33">
        <v>0.3912533361955632</v>
      </c>
      <c r="H199" s="33">
        <v>0.39255310279040423</v>
      </c>
      <c r="I199" s="33">
        <v>0.40457458367463794</v>
      </c>
      <c r="J199" s="33">
        <v>0.4053600338105757</v>
      </c>
      <c r="K199" s="33">
        <v>0.43795083471124696</v>
      </c>
      <c r="L199" s="33">
        <v>0.4372297955704859</v>
      </c>
      <c r="M199" s="33">
        <v>0.42976986876337453</v>
      </c>
    </row>
    <row r="200" ht="14.25" customHeight="1">
      <c r="A200" s="11" t="s">
        <v>395</v>
      </c>
      <c r="B200" s="11" t="s">
        <v>396</v>
      </c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 ht="14.25" customHeight="1">
      <c r="A201" s="11" t="s">
        <v>397</v>
      </c>
      <c r="B201" s="11" t="s">
        <v>398</v>
      </c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 ht="14.25" customHeight="1">
      <c r="A202" s="11" t="s">
        <v>495</v>
      </c>
      <c r="B202" s="11" t="s">
        <v>400</v>
      </c>
      <c r="C202" s="33">
        <v>0.19988467966980433</v>
      </c>
      <c r="D202" s="33">
        <v>0.1894040196887191</v>
      </c>
      <c r="E202" s="33">
        <v>0.17219337981852337</v>
      </c>
      <c r="F202" s="33">
        <v>0.16374153605412028</v>
      </c>
      <c r="G202" s="33">
        <v>0.16625631331858648</v>
      </c>
      <c r="H202" s="33">
        <v>0.1498229677117845</v>
      </c>
      <c r="I202" s="33">
        <v>0.14548835819112488</v>
      </c>
      <c r="J202" s="33">
        <v>0.1746744244200932</v>
      </c>
      <c r="K202" s="33">
        <v>0.16872621688503878</v>
      </c>
      <c r="L202" s="33">
        <v>0.19963112063605642</v>
      </c>
      <c r="M202" s="33">
        <v>0.20991330181372603</v>
      </c>
    </row>
    <row r="203" ht="14.25" customHeight="1">
      <c r="A203" s="11" t="s">
        <v>401</v>
      </c>
      <c r="B203" s="11" t="s">
        <v>402</v>
      </c>
      <c r="C203" s="33">
        <v>0.5211832656162224</v>
      </c>
      <c r="D203" s="33">
        <v>0.5083693187797155</v>
      </c>
      <c r="E203" s="33">
        <v>0.5084705209617291</v>
      </c>
      <c r="F203" s="33">
        <v>0.5002375800707537</v>
      </c>
      <c r="G203" s="33">
        <v>0.5076931647975229</v>
      </c>
      <c r="H203" s="33">
        <v>0.5342161715840369</v>
      </c>
      <c r="I203" s="33">
        <v>0.555543805890773</v>
      </c>
      <c r="J203" s="33">
        <v>0.5735932346204937</v>
      </c>
      <c r="K203" s="33">
        <v>0.5846986036342331</v>
      </c>
      <c r="L203" s="33">
        <v>0.563469456171096</v>
      </c>
      <c r="M203" s="33">
        <v>0.6316299067717507</v>
      </c>
    </row>
    <row r="204" ht="14.25" customHeight="1">
      <c r="A204" s="11" t="s">
        <v>403</v>
      </c>
      <c r="B204" s="11" t="s">
        <v>404</v>
      </c>
      <c r="C204" s="33">
        <v>0.29110322574714337</v>
      </c>
      <c r="D204" s="33">
        <v>0.29788063970875045</v>
      </c>
      <c r="E204" s="33">
        <v>0.3124379545444606</v>
      </c>
      <c r="F204" s="33">
        <v>0.35320361350200885</v>
      </c>
      <c r="G204" s="33">
        <v>0.3510008019852283</v>
      </c>
      <c r="H204" s="33">
        <v>0.3484985901093284</v>
      </c>
      <c r="I204" s="33">
        <v>0.3597351434031314</v>
      </c>
      <c r="J204" s="33">
        <v>0.40406900240251964</v>
      </c>
      <c r="K204" s="33">
        <v>0.4221062329820751</v>
      </c>
      <c r="L204" s="33">
        <v>0.4008511364744902</v>
      </c>
      <c r="M204" s="33">
        <v>0.3962043223888232</v>
      </c>
    </row>
    <row r="205" ht="14.25" customHeight="1">
      <c r="A205" s="11" t="s">
        <v>405</v>
      </c>
      <c r="B205" s="11" t="s">
        <v>406</v>
      </c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 ht="14.25" customHeight="1">
      <c r="A206" s="11" t="s">
        <v>407</v>
      </c>
      <c r="B206" s="11" t="s">
        <v>408</v>
      </c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 ht="14.25" customHeight="1">
      <c r="A207" s="11" t="s">
        <v>409</v>
      </c>
      <c r="B207" s="11" t="s">
        <v>410</v>
      </c>
      <c r="C207" s="33">
        <v>0.3544690345307851</v>
      </c>
      <c r="D207" s="33">
        <v>0.4168230903575211</v>
      </c>
      <c r="E207" s="33">
        <v>0.6103581248532233</v>
      </c>
      <c r="F207" s="33">
        <v>0.5923839532183699</v>
      </c>
      <c r="G207" s="33">
        <v>0.7801278294132054</v>
      </c>
      <c r="H207" s="33">
        <v>0.8953692796205172</v>
      </c>
      <c r="I207" s="33">
        <v>0.8450343584090514</v>
      </c>
      <c r="J207" s="33">
        <v>0.8574044851172052</v>
      </c>
      <c r="K207" s="33">
        <v>0.8579645599646012</v>
      </c>
      <c r="L207" s="33">
        <v>0.8666683974874673</v>
      </c>
      <c r="M207" s="33">
        <v>0.8772607912250657</v>
      </c>
    </row>
    <row r="208" ht="14.25" customHeight="1">
      <c r="A208" s="11" t="s">
        <v>411</v>
      </c>
      <c r="B208" s="11" t="s">
        <v>412</v>
      </c>
      <c r="C208" s="33">
        <v>0.25208203864676504</v>
      </c>
      <c r="D208" s="33">
        <v>0.23372305334608043</v>
      </c>
      <c r="E208" s="33">
        <v>0.29240737627793556</v>
      </c>
      <c r="F208" s="33">
        <v>0.2419372183072447</v>
      </c>
      <c r="G208" s="33">
        <v>0.2329821395733242</v>
      </c>
      <c r="H208" s="33">
        <v>0.22428294514066083</v>
      </c>
      <c r="I208" s="33">
        <v>0.21481387350531062</v>
      </c>
      <c r="J208" s="33">
        <v>0.20963130843012664</v>
      </c>
      <c r="K208" s="33">
        <v>0.1956178504934737</v>
      </c>
      <c r="L208" s="33">
        <v>0.1886904725436979</v>
      </c>
      <c r="M208" s="33">
        <v>0.18305029166904757</v>
      </c>
    </row>
    <row r="209" ht="14.25" customHeight="1">
      <c r="A209" s="11" t="s">
        <v>413</v>
      </c>
      <c r="B209" s="11" t="s">
        <v>414</v>
      </c>
      <c r="C209" s="33">
        <v>0.016297229534593883</v>
      </c>
      <c r="D209" s="33">
        <v>0.015436880083192845</v>
      </c>
      <c r="E209" s="33">
        <v>0.009895317225424777</v>
      </c>
      <c r="F209" s="33">
        <v>0.011410189882001254</v>
      </c>
      <c r="G209" s="33">
        <v>0.014004799677137022</v>
      </c>
      <c r="H209" s="33">
        <v>0.01215388289692665</v>
      </c>
      <c r="I209" s="33">
        <v>0.011049074227010711</v>
      </c>
      <c r="J209" s="33">
        <v>0.013598011565574752</v>
      </c>
      <c r="K209" s="33">
        <v>0.015070139666795792</v>
      </c>
      <c r="L209" s="33">
        <v>0.01185484924481603</v>
      </c>
      <c r="M209" s="33">
        <v>0.011583626116375595</v>
      </c>
    </row>
    <row r="210" ht="14.25" customHeight="1">
      <c r="A210" s="11" t="s">
        <v>415</v>
      </c>
      <c r="B210" s="11" t="s">
        <v>416</v>
      </c>
      <c r="C210" s="33">
        <v>0.7047064240814708</v>
      </c>
      <c r="D210" s="33">
        <v>0.6648084581101644</v>
      </c>
      <c r="E210" s="33">
        <v>0.6827792235166313</v>
      </c>
      <c r="F210" s="33">
        <v>0.6668382162276647</v>
      </c>
      <c r="G210" s="33">
        <v>0.653357486389868</v>
      </c>
      <c r="H210" s="33">
        <v>0.6508866214043304</v>
      </c>
      <c r="I210" s="33">
        <v>0.6349980081444759</v>
      </c>
      <c r="J210" s="33">
        <v>0.6635395795220258</v>
      </c>
      <c r="K210" s="33">
        <v>0.6441801999139467</v>
      </c>
      <c r="L210" s="33">
        <v>0.7196109624701714</v>
      </c>
      <c r="M210" s="33">
        <v>0.7158324732249373</v>
      </c>
    </row>
    <row r="211" ht="14.25" customHeight="1">
      <c r="A211" s="11" t="s">
        <v>417</v>
      </c>
      <c r="B211" s="11" t="s">
        <v>418</v>
      </c>
      <c r="C211" s="33">
        <v>0.7111575690129193</v>
      </c>
      <c r="D211" s="33">
        <v>0.705925646773861</v>
      </c>
      <c r="E211" s="33">
        <v>0.7007807387949743</v>
      </c>
      <c r="F211" s="33">
        <v>0.6258913368763221</v>
      </c>
      <c r="G211" s="33">
        <v>0.5896086872328065</v>
      </c>
      <c r="H211" s="33">
        <v>0.5180656866093226</v>
      </c>
      <c r="I211" s="33">
        <v>0.4752543068523976</v>
      </c>
      <c r="J211" s="33">
        <v>0.4744979087930768</v>
      </c>
      <c r="K211" s="33">
        <v>0.46363566998104555</v>
      </c>
      <c r="L211" s="33">
        <v>0.45603907883194167</v>
      </c>
      <c r="M211" s="33">
        <v>0.44987131101039496</v>
      </c>
    </row>
    <row r="212" ht="14.25" customHeight="1">
      <c r="A212" s="11" t="s">
        <v>419</v>
      </c>
      <c r="B212" s="11" t="s">
        <v>420</v>
      </c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 ht="14.25" customHeight="1">
      <c r="A213" s="11" t="s">
        <v>421</v>
      </c>
      <c r="B213" s="11" t="s">
        <v>422</v>
      </c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 ht="14.25" customHeight="1">
      <c r="A214" s="11" t="s">
        <v>423</v>
      </c>
      <c r="B214" s="11" t="s">
        <v>424</v>
      </c>
      <c r="C214" s="33">
        <v>0.028753441791444345</v>
      </c>
      <c r="D214" s="33">
        <v>0.02657888492135238</v>
      </c>
      <c r="E214" s="33">
        <v>0.0261616852992623</v>
      </c>
      <c r="F214" s="33">
        <v>0.03437508555586456</v>
      </c>
      <c r="G214" s="33">
        <v>0.03654417196575749</v>
      </c>
      <c r="H214" s="33">
        <v>0.03779532312521829</v>
      </c>
      <c r="I214" s="33">
        <v>0.03819721681534967</v>
      </c>
      <c r="J214" s="33">
        <v>0.04580849179411887</v>
      </c>
      <c r="K214" s="33">
        <v>0.04838053227114525</v>
      </c>
      <c r="L214" s="33">
        <v>0.04753216595976589</v>
      </c>
      <c r="M214" s="33">
        <v>0.04577346947163231</v>
      </c>
    </row>
    <row r="215" ht="14.25" customHeight="1">
      <c r="A215" s="11" t="s">
        <v>425</v>
      </c>
      <c r="B215" s="11" t="s">
        <v>426</v>
      </c>
      <c r="C215" s="33">
        <v>0.17364003060443764</v>
      </c>
      <c r="D215" s="33">
        <v>0.15664134354445575</v>
      </c>
      <c r="E215" s="33">
        <v>0.15994648278900953</v>
      </c>
      <c r="F215" s="33">
        <v>0.1625283208246438</v>
      </c>
      <c r="G215" s="33">
        <v>0.15982659872548052</v>
      </c>
      <c r="H215" s="33">
        <v>0.16085147247119075</v>
      </c>
      <c r="I215" s="33">
        <v>0.1772752472427123</v>
      </c>
      <c r="J215" s="33">
        <v>0.1837256832539338</v>
      </c>
      <c r="K215" s="33">
        <v>0.1723864988863184</v>
      </c>
      <c r="L215" s="33">
        <v>0.15953878219176856</v>
      </c>
      <c r="M215" s="33">
        <v>0.15759120044955163</v>
      </c>
    </row>
    <row r="216" ht="14.25" customHeight="1">
      <c r="A216" s="11" t="s">
        <v>427</v>
      </c>
      <c r="B216" s="11" t="s">
        <v>428</v>
      </c>
      <c r="C216" s="33">
        <v>0.10693262677696501</v>
      </c>
      <c r="D216" s="33">
        <v>0.1068315818341048</v>
      </c>
      <c r="E216" s="33">
        <v>0.1118850199082659</v>
      </c>
      <c r="F216" s="33">
        <v>0.11468306623291452</v>
      </c>
      <c r="G216" s="33">
        <v>0.11445294595869536</v>
      </c>
      <c r="H216" s="33">
        <v>0.11452064203228726</v>
      </c>
      <c r="I216" s="33">
        <v>0.14478223133841267</v>
      </c>
      <c r="J216" s="33">
        <v>0.13858737996943532</v>
      </c>
      <c r="K216" s="33">
        <v>0.12451769856535143</v>
      </c>
      <c r="L216" s="33">
        <v>0.10849399143949742</v>
      </c>
      <c r="M216" s="33">
        <v>0.09770435349910724</v>
      </c>
    </row>
    <row r="217" ht="14.25" customHeight="1">
      <c r="A217" s="11" t="s">
        <v>429</v>
      </c>
      <c r="B217" s="11" t="s">
        <v>430</v>
      </c>
      <c r="C217" s="33">
        <v>0.14376583800613493</v>
      </c>
      <c r="D217" s="33">
        <v>0.12526475148695324</v>
      </c>
      <c r="E217" s="33">
        <v>0.11384644494487972</v>
      </c>
      <c r="F217" s="33">
        <v>0.09904325528176207</v>
      </c>
      <c r="G217" s="33">
        <v>0.08891744505799798</v>
      </c>
      <c r="H217" s="33">
        <v>0.07945850382683073</v>
      </c>
      <c r="I217" s="33">
        <v>0.0707018810954795</v>
      </c>
      <c r="J217" s="33">
        <v>0.08360983212865114</v>
      </c>
      <c r="K217" s="33">
        <v>0.07888359581010677</v>
      </c>
      <c r="L217" s="33">
        <v>0.07913145819283005</v>
      </c>
      <c r="M217" s="33">
        <v>0.0781986719942231</v>
      </c>
    </row>
    <row r="218" ht="14.25" customHeight="1">
      <c r="A218" s="11" t="s">
        <v>431</v>
      </c>
      <c r="B218" s="11" t="s">
        <v>432</v>
      </c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 ht="14.25" customHeight="1">
      <c r="A219" s="11" t="s">
        <v>433</v>
      </c>
      <c r="B219" s="11" t="s">
        <v>434</v>
      </c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 ht="14.25" customHeight="1">
      <c r="A220" s="11" t="s">
        <v>435</v>
      </c>
      <c r="B220" s="11" t="s">
        <v>436</v>
      </c>
      <c r="C220" s="33">
        <v>0.668668027408338</v>
      </c>
      <c r="D220" s="33">
        <v>0.6742467365524929</v>
      </c>
      <c r="E220" s="33">
        <v>0.680931627494242</v>
      </c>
      <c r="F220" s="33">
        <v>0.6932744549628548</v>
      </c>
      <c r="G220" s="33">
        <v>0.7002545091742048</v>
      </c>
      <c r="H220" s="33">
        <v>0.6956044097136442</v>
      </c>
      <c r="I220" s="33">
        <v>0.6997699567426656</v>
      </c>
      <c r="J220" s="33">
        <v>0.7037597678061148</v>
      </c>
      <c r="K220" s="33">
        <v>0.699468924904001</v>
      </c>
      <c r="L220" s="33">
        <v>0.6921926795294293</v>
      </c>
      <c r="M220" s="33">
        <v>0.6855648866520434</v>
      </c>
    </row>
    <row r="221" ht="14.25" customHeight="1">
      <c r="A221" s="11" t="s">
        <v>437</v>
      </c>
      <c r="B221" s="11" t="s">
        <v>438</v>
      </c>
      <c r="C221" s="33">
        <v>0.07272444521817757</v>
      </c>
      <c r="D221" s="33">
        <v>0.09352560529510771</v>
      </c>
      <c r="E221" s="33">
        <v>0.09458108513297596</v>
      </c>
      <c r="F221" s="33">
        <v>0.09609868928151762</v>
      </c>
      <c r="G221" s="33">
        <v>0.09712322757327922</v>
      </c>
      <c r="H221" s="33">
        <v>0.08963891747309574</v>
      </c>
      <c r="I221" s="33">
        <v>0.08399801583863598</v>
      </c>
      <c r="J221" s="33">
        <v>0.09540071957099928</v>
      </c>
      <c r="K221" s="33">
        <v>0.09959368896017333</v>
      </c>
      <c r="L221" s="33" t="e">
        <v>#DIV/0!</v>
      </c>
      <c r="M221" s="33" t="e">
        <v>#DIV/0!</v>
      </c>
    </row>
    <row r="222" ht="14.25" customHeight="1">
      <c r="A222" s="11" t="s">
        <v>439</v>
      </c>
      <c r="B222" s="11" t="s">
        <v>440</v>
      </c>
      <c r="C222" s="33">
        <v>0.02171799434522265</v>
      </c>
      <c r="D222" s="33">
        <v>0.020598371159708834</v>
      </c>
      <c r="E222" s="33">
        <v>0.018896990309052467</v>
      </c>
      <c r="F222" s="33">
        <v>0.01738274812695844</v>
      </c>
      <c r="G222" s="33">
        <v>0.025594484424633693</v>
      </c>
      <c r="H222" s="33">
        <v>0.023336634425462428</v>
      </c>
      <c r="I222" s="33">
        <v>0.024285617717625118</v>
      </c>
      <c r="J222" s="33">
        <v>0.04389615015021121</v>
      </c>
      <c r="K222" s="33">
        <v>0.0320179309326694</v>
      </c>
      <c r="L222" s="33">
        <v>0.029698965631174735</v>
      </c>
      <c r="M222" s="33">
        <v>0.028031769969155018</v>
      </c>
    </row>
    <row r="223" ht="14.25" customHeight="1">
      <c r="A223" s="11" t="s">
        <v>475</v>
      </c>
      <c r="B223" s="11" t="s">
        <v>442</v>
      </c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 ht="14.25" customHeight="1">
      <c r="A224" s="11" t="s">
        <v>496</v>
      </c>
      <c r="B224" s="11" t="s">
        <v>444</v>
      </c>
      <c r="C224" s="33">
        <v>0.7621785624012741</v>
      </c>
      <c r="D224" s="33">
        <v>0.761730728490006</v>
      </c>
      <c r="E224" s="33">
        <v>0.7587560545542813</v>
      </c>
      <c r="F224" s="33">
        <v>0.7550976976929816</v>
      </c>
      <c r="G224" s="33">
        <v>0.749515917129628</v>
      </c>
      <c r="H224" s="33">
        <v>0.7462220479672511</v>
      </c>
      <c r="I224" s="33">
        <v>0.7355186589096495</v>
      </c>
      <c r="J224" s="33">
        <v>0.7407630567169369</v>
      </c>
      <c r="K224" s="33">
        <v>0.7368317917800887</v>
      </c>
      <c r="L224" s="33">
        <v>0.7333746873281138</v>
      </c>
      <c r="M224" s="33">
        <v>0.7272225423611002</v>
      </c>
    </row>
    <row r="225" ht="14.25" customHeight="1">
      <c r="A225" s="11" t="s">
        <v>445</v>
      </c>
      <c r="B225" s="11" t="s">
        <v>446</v>
      </c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 ht="14.25" customHeight="1">
      <c r="A226" s="11" t="s">
        <v>447</v>
      </c>
      <c r="B226" s="11" t="s">
        <v>448</v>
      </c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 ht="14.25" customHeight="1">
      <c r="A227" s="11" t="s">
        <v>449</v>
      </c>
      <c r="B227" s="11" t="s">
        <v>450</v>
      </c>
      <c r="C227" s="33">
        <v>0.06836144334618617</v>
      </c>
      <c r="D227" s="33">
        <v>0.06851032578428232</v>
      </c>
      <c r="E227" s="33">
        <v>0.07771286496240395</v>
      </c>
      <c r="F227" s="33">
        <v>0.08090653137968962</v>
      </c>
      <c r="G227" s="33">
        <v>0.0805251913034174</v>
      </c>
      <c r="H227" s="33">
        <v>0.08489634691380579</v>
      </c>
      <c r="I227" s="33">
        <v>0.08928526360951972</v>
      </c>
      <c r="J227" s="33">
        <v>0.10642853750623324</v>
      </c>
      <c r="K227" s="33">
        <v>0.09573106509675612</v>
      </c>
      <c r="L227" s="33">
        <v>0.08192212385740871</v>
      </c>
      <c r="M227" s="33">
        <v>0.0866749966481026</v>
      </c>
    </row>
    <row r="228" ht="14.25" customHeight="1">
      <c r="A228" s="11" t="s">
        <v>451</v>
      </c>
      <c r="B228" s="11" t="s">
        <v>452</v>
      </c>
      <c r="C228" s="33">
        <v>0.7579949242399399</v>
      </c>
      <c r="D228" s="33">
        <v>0.7365339490062237</v>
      </c>
      <c r="E228" s="33">
        <v>0.7121321598937378</v>
      </c>
      <c r="F228" s="33">
        <v>0.6883193274741256</v>
      </c>
      <c r="G228" s="33">
        <v>0.6741241577132868</v>
      </c>
      <c r="H228" s="33">
        <v>0.6491206473869913</v>
      </c>
      <c r="I228" s="33">
        <v>0.623278762279171</v>
      </c>
      <c r="J228" s="33">
        <v>0.6234052288000919</v>
      </c>
      <c r="K228" s="33">
        <v>0.604344529544159</v>
      </c>
      <c r="L228" s="33">
        <v>0.5910712379077798</v>
      </c>
      <c r="M228" s="33">
        <v>0.5766988872369054</v>
      </c>
    </row>
    <row r="229" ht="14.25" customHeight="1">
      <c r="A229" s="11" t="s">
        <v>453</v>
      </c>
      <c r="B229" s="11" t="s">
        <v>454</v>
      </c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 ht="14.25" customHeight="1">
      <c r="A230" s="11" t="s">
        <v>455</v>
      </c>
      <c r="B230" s="11" t="s">
        <v>456</v>
      </c>
      <c r="C230" s="33">
        <v>0.1646057801311698</v>
      </c>
      <c r="D230" s="33">
        <v>0.1677541290499257</v>
      </c>
      <c r="E230" s="33">
        <v>0.18710920264604977</v>
      </c>
      <c r="F230" s="33">
        <v>0.22587090039461932</v>
      </c>
      <c r="G230" s="33">
        <v>0.29103295230583154</v>
      </c>
      <c r="H230" s="33">
        <v>0.3765358084312379</v>
      </c>
      <c r="I230" s="33">
        <v>0.4707622742260683</v>
      </c>
      <c r="J230" s="33">
        <v>0.548603226122277</v>
      </c>
      <c r="K230" s="33">
        <v>0.5838183927532925</v>
      </c>
      <c r="L230" s="33">
        <v>0.525478516218856</v>
      </c>
      <c r="M230" s="33">
        <v>0.518940659377961</v>
      </c>
    </row>
    <row r="231" ht="14.25" customHeight="1">
      <c r="A231" s="11" t="s">
        <v>457</v>
      </c>
      <c r="B231" s="11" t="s">
        <v>458</v>
      </c>
      <c r="C231" s="33">
        <v>0.11996846131138839</v>
      </c>
      <c r="D231" s="33">
        <v>0.111352515909838</v>
      </c>
      <c r="E231" s="33">
        <v>0.09926534048359999</v>
      </c>
      <c r="F231" s="33">
        <v>0.09017647504964561</v>
      </c>
      <c r="G231" s="33">
        <v>0.08420983290701102</v>
      </c>
      <c r="H231" s="33">
        <v>0.07137114787427606</v>
      </c>
      <c r="I231" s="33">
        <v>0.06374268122551423</v>
      </c>
      <c r="J231" s="33">
        <v>0.06307303909764944</v>
      </c>
      <c r="K231" s="33">
        <v>0.06374932497403467</v>
      </c>
      <c r="L231" s="33">
        <v>0.056536792003264134</v>
      </c>
      <c r="M231" s="33">
        <v>0.05594702107530804</v>
      </c>
    </row>
    <row r="232" ht="14.25" customHeight="1">
      <c r="A232" s="11" t="s">
        <v>459</v>
      </c>
      <c r="B232" s="11" t="s">
        <v>460</v>
      </c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 ht="14.25" customHeight="1">
      <c r="A233" s="11" t="s">
        <v>461</v>
      </c>
      <c r="B233" s="11" t="s">
        <v>462</v>
      </c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 ht="14.25" customHeight="1">
      <c r="A234" s="11" t="s">
        <v>463</v>
      </c>
      <c r="B234" s="11" t="s">
        <v>464</v>
      </c>
      <c r="C234" s="33">
        <v>0.5101308530658936</v>
      </c>
      <c r="D234" s="33">
        <v>0.5334647867692117</v>
      </c>
      <c r="E234" s="33">
        <v>0.7286659182005262</v>
      </c>
      <c r="F234" s="33">
        <v>0.7754623883980475</v>
      </c>
      <c r="G234" s="33">
        <v>0.8000179881011522</v>
      </c>
      <c r="H234" s="33">
        <v>0.8037923786539373</v>
      </c>
      <c r="I234" s="33">
        <v>0.8067712352816772</v>
      </c>
      <c r="J234" s="33">
        <v>0.828608070381589</v>
      </c>
      <c r="K234" s="33">
        <v>0.8337991981768049</v>
      </c>
      <c r="L234" s="33">
        <v>0.8347975462995412</v>
      </c>
      <c r="M234" s="33">
        <v>0.8357204407401149</v>
      </c>
    </row>
    <row r="235" ht="14.25" customHeight="1">
      <c r="A235" s="11" t="s">
        <v>465</v>
      </c>
      <c r="B235" s="11" t="s">
        <v>466</v>
      </c>
      <c r="C235" s="33">
        <v>0.7697857546022567</v>
      </c>
      <c r="D235" s="33">
        <v>0.7655726803161861</v>
      </c>
      <c r="E235" s="33">
        <v>0.7653110834094278</v>
      </c>
      <c r="F235" s="33">
        <v>0.7626411625473132</v>
      </c>
      <c r="G235" s="33">
        <v>0.7611078579206608</v>
      </c>
      <c r="H235" s="33">
        <v>0.749116989861275</v>
      </c>
      <c r="I235" s="33">
        <v>0.756298713261286</v>
      </c>
      <c r="J235" s="33">
        <v>0.771556758046306</v>
      </c>
      <c r="K235" s="33">
        <v>0.7644120044309193</v>
      </c>
      <c r="L235" s="33">
        <v>0.7784491440080564</v>
      </c>
      <c r="M235" s="33">
        <v>0.7788136581148629</v>
      </c>
    </row>
    <row r="236" ht="14.25" customHeight="1">
      <c r="A236" s="11" t="s">
        <v>467</v>
      </c>
      <c r="B236" s="11" t="s">
        <v>468</v>
      </c>
      <c r="C236" s="33">
        <v>0.4648857261505074</v>
      </c>
      <c r="D236" s="33">
        <v>0.5010893624174401</v>
      </c>
      <c r="E236" s="33">
        <v>0.536699429073095</v>
      </c>
      <c r="F236" s="33">
        <v>0.5762560927317885</v>
      </c>
      <c r="G236" s="33">
        <v>0.6012847764037635</v>
      </c>
      <c r="H236" s="33">
        <v>0.5914782919708433</v>
      </c>
      <c r="I236" s="33">
        <v>0.6317160477853969</v>
      </c>
      <c r="J236" s="33">
        <v>0.6623076216830398</v>
      </c>
      <c r="K236" s="33">
        <v>0.6443725452581529</v>
      </c>
      <c r="L236" s="33">
        <v>0.653734903485437</v>
      </c>
      <c r="M236" s="33">
        <v>0.6364977533090678</v>
      </c>
    </row>
    <row r="237" ht="14.25" customHeight="1"/>
    <row r="238" ht="14.25" customHeight="1">
      <c r="A238" s="12" t="s">
        <v>469</v>
      </c>
      <c r="C238" s="8">
        <v>133.0</v>
      </c>
      <c r="D238" s="8">
        <v>133.0</v>
      </c>
      <c r="E238" s="8">
        <v>133.0</v>
      </c>
      <c r="F238" s="8">
        <v>133.0</v>
      </c>
      <c r="G238" s="8">
        <v>133.0</v>
      </c>
      <c r="H238" s="8">
        <v>133.0</v>
      </c>
      <c r="I238" s="8">
        <v>133.0</v>
      </c>
      <c r="J238" s="8">
        <v>133.0</v>
      </c>
      <c r="K238" s="8">
        <v>133.0</v>
      </c>
      <c r="L238" s="8">
        <v>132.0</v>
      </c>
      <c r="M238" s="8">
        <v>131.0</v>
      </c>
    </row>
    <row r="239" ht="14.25" customHeight="1">
      <c r="A239" s="12"/>
      <c r="B239" s="12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1:M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4.5"/>
    <col customWidth="1" min="2" max="2" width="12.13"/>
    <col customWidth="1" min="3" max="11" width="7.63"/>
    <col customWidth="1" min="12" max="12" width="12.25"/>
    <col customWidth="1" min="13" max="26" width="8.63"/>
  </cols>
  <sheetData>
    <row r="1" ht="14.25" customHeight="1">
      <c r="A1" s="25"/>
      <c r="B1" s="25"/>
      <c r="C1" s="34" t="s">
        <v>497</v>
      </c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A2" s="35" t="s">
        <v>1</v>
      </c>
      <c r="B2" s="35" t="s">
        <v>498</v>
      </c>
      <c r="C2" s="36">
        <v>2013.0</v>
      </c>
      <c r="D2" s="36">
        <v>2014.0</v>
      </c>
      <c r="E2" s="36">
        <v>2015.0</v>
      </c>
      <c r="F2" s="36">
        <v>2016.0</v>
      </c>
      <c r="G2" s="36">
        <v>2017.0</v>
      </c>
      <c r="H2" s="36">
        <v>2018.0</v>
      </c>
      <c r="I2" s="36">
        <v>2019.0</v>
      </c>
      <c r="J2" s="36">
        <v>2020.0</v>
      </c>
      <c r="K2" s="36">
        <v>2021.0</v>
      </c>
      <c r="L2" s="36">
        <v>2022.0</v>
      </c>
    </row>
    <row r="3" ht="14.25" customHeight="1">
      <c r="A3" s="30" t="s">
        <v>3</v>
      </c>
      <c r="B3" s="30" t="s">
        <v>4</v>
      </c>
      <c r="C3" s="30">
        <v>31.4488506317139</v>
      </c>
      <c r="D3" s="30">
        <v>31.4488506317139</v>
      </c>
      <c r="E3" s="30">
        <v>31.4488506317139</v>
      </c>
      <c r="F3" s="30">
        <v>31.4488506317139</v>
      </c>
      <c r="G3" s="30">
        <v>31.4488506317139</v>
      </c>
      <c r="H3" s="30">
        <v>31.4488506317139</v>
      </c>
      <c r="I3" s="30">
        <v>31.4488506317139</v>
      </c>
      <c r="J3" s="30">
        <v>31.4488506317139</v>
      </c>
      <c r="K3" s="30">
        <v>37.266040802002</v>
      </c>
      <c r="L3" s="30">
        <v>37.266040802002</v>
      </c>
    </row>
    <row r="4" ht="14.25" customHeight="1">
      <c r="A4" s="30" t="s">
        <v>5</v>
      </c>
      <c r="B4" s="30" t="s">
        <v>6</v>
      </c>
      <c r="C4" s="30">
        <v>97.2469711303711</v>
      </c>
      <c r="D4" s="30">
        <v>97.2469711303711</v>
      </c>
      <c r="E4" s="30">
        <v>97.2469711303711</v>
      </c>
      <c r="F4" s="30">
        <v>97.2469711303711</v>
      </c>
      <c r="G4" s="30">
        <v>97.2469711303711</v>
      </c>
      <c r="H4" s="30">
        <v>97.2469711303711</v>
      </c>
      <c r="I4" s="30">
        <v>97.2469711303711</v>
      </c>
      <c r="J4" s="30">
        <v>97.2469711303711</v>
      </c>
      <c r="K4" s="30">
        <v>97.2469711303711</v>
      </c>
      <c r="L4" s="30">
        <v>98.5</v>
      </c>
    </row>
    <row r="5" ht="14.25" customHeight="1">
      <c r="A5" s="30" t="s">
        <v>7</v>
      </c>
      <c r="B5" s="30" t="s">
        <v>8</v>
      </c>
      <c r="C5" s="30">
        <v>75.1360473632812</v>
      </c>
      <c r="D5" s="30">
        <v>75.1360473632812</v>
      </c>
      <c r="E5" s="30">
        <v>75.1360473632812</v>
      </c>
      <c r="F5" s="30">
        <v>75.1360473632812</v>
      </c>
      <c r="G5" s="30">
        <v>75.1360473632812</v>
      </c>
      <c r="H5" s="30">
        <v>81.4078369140625</v>
      </c>
      <c r="I5" s="30">
        <v>81.4078369140625</v>
      </c>
      <c r="J5" s="30">
        <v>81.4078369140625</v>
      </c>
      <c r="K5" s="30">
        <v>81.4078369140625</v>
      </c>
      <c r="L5" s="30">
        <v>81.4078369140625</v>
      </c>
    </row>
    <row r="6" ht="14.25" customHeight="1">
      <c r="A6" s="30" t="s">
        <v>9</v>
      </c>
      <c r="B6" s="30" t="s">
        <v>10</v>
      </c>
      <c r="C6" s="30"/>
      <c r="D6" s="30"/>
      <c r="E6" s="30"/>
      <c r="F6" s="30"/>
      <c r="G6" s="30"/>
      <c r="H6" s="30"/>
      <c r="I6" s="30"/>
      <c r="J6" s="30"/>
      <c r="K6" s="30"/>
      <c r="L6" s="30"/>
    </row>
    <row r="7" ht="14.25" customHeight="1">
      <c r="A7" s="30" t="s">
        <v>11</v>
      </c>
      <c r="B7" s="30" t="s">
        <v>12</v>
      </c>
      <c r="C7" s="30"/>
      <c r="D7" s="30"/>
      <c r="E7" s="30"/>
      <c r="F7" s="30"/>
      <c r="G7" s="30"/>
      <c r="H7" s="30"/>
      <c r="I7" s="30"/>
      <c r="J7" s="30"/>
      <c r="K7" s="30"/>
      <c r="L7" s="30"/>
    </row>
    <row r="8" ht="14.25" customHeight="1">
      <c r="A8" s="30" t="s">
        <v>13</v>
      </c>
      <c r="B8" s="30" t="s">
        <v>14</v>
      </c>
      <c r="C8" s="30"/>
      <c r="D8" s="30">
        <v>66.0301132202148</v>
      </c>
      <c r="E8" s="30">
        <v>66.0301132202148</v>
      </c>
      <c r="F8" s="30">
        <v>66.0301132202148</v>
      </c>
      <c r="G8" s="30">
        <v>66.0301132202148</v>
      </c>
      <c r="H8" s="30">
        <v>66.0301132202148</v>
      </c>
      <c r="I8" s="30">
        <v>66.0301132202148</v>
      </c>
      <c r="J8" s="30">
        <v>66.0301132202148</v>
      </c>
      <c r="K8" s="30">
        <v>66.0301132202148</v>
      </c>
      <c r="L8" s="30">
        <v>72.4000015258789</v>
      </c>
    </row>
    <row r="9" ht="14.25" customHeight="1">
      <c r="A9" s="30" t="s">
        <v>15</v>
      </c>
      <c r="B9" s="30" t="s">
        <v>16</v>
      </c>
      <c r="C9" s="30"/>
      <c r="D9" s="30"/>
      <c r="E9" s="30"/>
      <c r="F9" s="30"/>
      <c r="G9" s="30"/>
      <c r="H9" s="30"/>
      <c r="I9" s="30"/>
      <c r="J9" s="30"/>
      <c r="K9" s="30"/>
      <c r="L9" s="30"/>
    </row>
    <row r="10" ht="14.25" customHeight="1">
      <c r="A10" s="30" t="s">
        <v>17</v>
      </c>
      <c r="B10" s="30" t="s">
        <v>18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</row>
    <row r="11" ht="14.25" customHeight="1">
      <c r="A11" s="30" t="s">
        <v>19</v>
      </c>
      <c r="B11" s="30" t="s">
        <v>20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</row>
    <row r="12" ht="14.25" customHeight="1">
      <c r="A12" s="30" t="s">
        <v>21</v>
      </c>
      <c r="B12" s="30" t="s">
        <v>22</v>
      </c>
      <c r="C12" s="30">
        <v>99.7444076538086</v>
      </c>
      <c r="D12" s="30">
        <v>99.7444076538086</v>
      </c>
      <c r="E12" s="30">
        <v>99.7444076538086</v>
      </c>
      <c r="F12" s="30">
        <v>99.7444076538086</v>
      </c>
      <c r="G12" s="30">
        <v>99.7360687255859</v>
      </c>
      <c r="H12" s="30">
        <v>99.7360687255859</v>
      </c>
      <c r="I12" s="30">
        <v>99.7360687255859</v>
      </c>
      <c r="J12" s="30">
        <v>99.7886123657227</v>
      </c>
      <c r="K12" s="30">
        <v>99.7886123657227</v>
      </c>
      <c r="L12" s="30">
        <v>99.7886123657227</v>
      </c>
    </row>
    <row r="13" ht="14.25" customHeight="1">
      <c r="A13" s="30" t="s">
        <v>23</v>
      </c>
      <c r="B13" s="30" t="s">
        <v>24</v>
      </c>
      <c r="C13" s="30">
        <v>96.822639465332</v>
      </c>
      <c r="D13" s="30">
        <v>96.822639465332</v>
      </c>
      <c r="E13" s="30">
        <v>96.822639465332</v>
      </c>
      <c r="F13" s="30">
        <v>96.822639465332</v>
      </c>
      <c r="G13" s="30">
        <v>96.822639465332</v>
      </c>
      <c r="H13" s="30">
        <v>96.822639465332</v>
      </c>
      <c r="I13" s="30">
        <v>96.822639465332</v>
      </c>
      <c r="J13" s="30">
        <v>97.9899978637695</v>
      </c>
      <c r="K13" s="30">
        <v>97.9899978637695</v>
      </c>
      <c r="L13" s="30">
        <v>97.9899978637695</v>
      </c>
    </row>
    <row r="14" ht="14.25" customHeight="1">
      <c r="A14" s="30" t="s">
        <v>25</v>
      </c>
      <c r="B14" s="30" t="s">
        <v>26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</row>
    <row r="15" ht="14.25" customHeight="1">
      <c r="A15" s="30" t="s">
        <v>27</v>
      </c>
      <c r="B15" s="30" t="s">
        <v>28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ht="14.25" customHeight="1">
      <c r="A16" s="30" t="s">
        <v>29</v>
      </c>
      <c r="B16" s="30" t="s">
        <v>30</v>
      </c>
      <c r="C16" s="30">
        <v>99.7893600463867</v>
      </c>
      <c r="D16" s="30">
        <v>99.7889862060547</v>
      </c>
      <c r="E16" s="30">
        <v>99.7880630493164</v>
      </c>
      <c r="F16" s="30">
        <v>99.7900619506836</v>
      </c>
      <c r="G16" s="30">
        <v>99.7912292480469</v>
      </c>
      <c r="H16" s="30">
        <v>99.7912292480469</v>
      </c>
      <c r="I16" s="30">
        <v>99.7959823608398</v>
      </c>
      <c r="J16" s="30">
        <v>99.7959823608398</v>
      </c>
      <c r="K16" s="30">
        <v>99.7959823608398</v>
      </c>
      <c r="L16" s="30">
        <v>99.7959823608398</v>
      </c>
    </row>
    <row r="17" ht="14.25" customHeight="1">
      <c r="A17" s="30" t="s">
        <v>31</v>
      </c>
      <c r="B17" s="30" t="s">
        <v>32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</row>
    <row r="18" ht="14.25" customHeight="1">
      <c r="A18" s="30" t="s">
        <v>33</v>
      </c>
      <c r="B18" s="30" t="s">
        <v>34</v>
      </c>
      <c r="C18" s="30">
        <v>92.3000030517578</v>
      </c>
      <c r="D18" s="30">
        <v>92.3000030517578</v>
      </c>
      <c r="E18" s="30">
        <v>92.3000030517578</v>
      </c>
      <c r="F18" s="30">
        <v>92.3000030517578</v>
      </c>
      <c r="G18" s="30">
        <v>92.3000030517578</v>
      </c>
      <c r="H18" s="30">
        <v>92.3000030517578</v>
      </c>
      <c r="I18" s="30">
        <v>92.3000030517578</v>
      </c>
      <c r="J18" s="30">
        <v>92.3000030517578</v>
      </c>
      <c r="K18" s="30">
        <v>92.3000030517578</v>
      </c>
      <c r="L18" s="30">
        <v>97.8724822998047</v>
      </c>
    </row>
    <row r="19" ht="14.25" customHeight="1">
      <c r="A19" s="30" t="s">
        <v>35</v>
      </c>
      <c r="B19" s="30" t="s">
        <v>36</v>
      </c>
      <c r="C19" s="30">
        <v>61.0155410766602</v>
      </c>
      <c r="D19" s="30">
        <v>61.0932998657227</v>
      </c>
      <c r="E19" s="30">
        <v>65.1373291015625</v>
      </c>
      <c r="F19" s="30">
        <v>72.7587203979492</v>
      </c>
      <c r="G19" s="30">
        <v>72.8929672241211</v>
      </c>
      <c r="H19" s="30">
        <v>73.9122009277344</v>
      </c>
      <c r="I19" s="30">
        <v>74.6844635009766</v>
      </c>
      <c r="J19" s="30">
        <v>74.9088973999023</v>
      </c>
      <c r="K19" s="30">
        <v>76.3628768920898</v>
      </c>
      <c r="L19" s="30">
        <v>76.3628768920898</v>
      </c>
    </row>
    <row r="20" ht="14.25" customHeight="1">
      <c r="A20" s="30" t="s">
        <v>37</v>
      </c>
      <c r="B20" s="30" t="s">
        <v>38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</row>
    <row r="21" ht="14.25" customHeight="1">
      <c r="A21" s="30" t="s">
        <v>39</v>
      </c>
      <c r="B21" s="30" t="s">
        <v>40</v>
      </c>
      <c r="C21" s="30">
        <v>99.617057800293</v>
      </c>
      <c r="D21" s="30">
        <v>99.617057800293</v>
      </c>
      <c r="E21" s="30">
        <v>99.617057800293</v>
      </c>
      <c r="F21" s="30">
        <v>99.617057800293</v>
      </c>
      <c r="G21" s="30">
        <v>99.617057800293</v>
      </c>
      <c r="H21" s="30">
        <v>99.617057800293</v>
      </c>
      <c r="I21" s="30">
        <v>99.8740005493164</v>
      </c>
      <c r="J21" s="30">
        <v>99.8740005493164</v>
      </c>
      <c r="K21" s="30">
        <v>99.8740005493164</v>
      </c>
      <c r="L21" s="30">
        <v>99.8740005493164</v>
      </c>
    </row>
    <row r="22" ht="14.25" customHeight="1">
      <c r="A22" s="30" t="s">
        <v>41</v>
      </c>
      <c r="B22" s="30" t="s">
        <v>42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</row>
    <row r="23" ht="14.25" customHeight="1">
      <c r="A23" s="30" t="s">
        <v>43</v>
      </c>
      <c r="B23" s="30" t="s">
        <v>44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</row>
    <row r="24" ht="14.25" customHeight="1">
      <c r="A24" s="30" t="s">
        <v>45</v>
      </c>
      <c r="B24" s="30" t="s">
        <v>46</v>
      </c>
      <c r="C24" s="30">
        <v>32.9488182067871</v>
      </c>
      <c r="D24" s="30">
        <v>32.9488182067871</v>
      </c>
      <c r="E24" s="30">
        <v>32.9488182067871</v>
      </c>
      <c r="F24" s="30">
        <v>32.9488182067871</v>
      </c>
      <c r="G24" s="30">
        <v>32.9488182067871</v>
      </c>
      <c r="H24" s="30">
        <v>32.9488182067871</v>
      </c>
      <c r="I24" s="30">
        <v>32.9488182067871</v>
      </c>
      <c r="J24" s="30">
        <v>32.9488182067871</v>
      </c>
      <c r="K24" s="30">
        <v>32.9488182067871</v>
      </c>
      <c r="L24" s="30">
        <v>47.0999984741211</v>
      </c>
    </row>
    <row r="25" ht="14.25" customHeight="1">
      <c r="A25" s="30" t="s">
        <v>47</v>
      </c>
      <c r="B25" s="30" t="s">
        <v>48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</row>
    <row r="26" ht="14.25" customHeight="1">
      <c r="A26" s="30" t="s">
        <v>49</v>
      </c>
      <c r="B26" s="30" t="s">
        <v>50</v>
      </c>
      <c r="C26" s="30">
        <v>55.3175582885742</v>
      </c>
      <c r="D26" s="30">
        <v>55.3175582885742</v>
      </c>
      <c r="E26" s="30">
        <v>55.3175582885742</v>
      </c>
      <c r="F26" s="30">
        <v>55.3175582885742</v>
      </c>
      <c r="G26" s="30">
        <v>66.561149597168</v>
      </c>
      <c r="H26" s="30">
        <v>66.561149597168</v>
      </c>
      <c r="I26" s="30">
        <v>66.561149597168</v>
      </c>
      <c r="J26" s="30">
        <v>66.561149597168</v>
      </c>
      <c r="K26" s="30">
        <v>66.561149597168</v>
      </c>
      <c r="L26" s="30">
        <v>72.0999984741211</v>
      </c>
    </row>
    <row r="27" ht="14.25" customHeight="1">
      <c r="A27" s="30" t="s">
        <v>51</v>
      </c>
      <c r="B27" s="30" t="s">
        <v>52</v>
      </c>
      <c r="C27" s="30">
        <v>94.4605712890625</v>
      </c>
      <c r="D27" s="30">
        <v>94.4605712890625</v>
      </c>
      <c r="E27" s="30">
        <v>92.455078125</v>
      </c>
      <c r="F27" s="30">
        <v>92.455078125</v>
      </c>
      <c r="G27" s="30">
        <v>92.455078125</v>
      </c>
      <c r="H27" s="30">
        <v>92.455078125</v>
      </c>
      <c r="I27" s="30">
        <v>92.455078125</v>
      </c>
      <c r="J27" s="30">
        <v>93.8525619506836</v>
      </c>
      <c r="K27" s="30">
        <v>93.8525619506836</v>
      </c>
      <c r="L27" s="30">
        <v>93.8525619506836</v>
      </c>
    </row>
    <row r="28" ht="14.25" customHeight="1">
      <c r="A28" s="30" t="s">
        <v>53</v>
      </c>
      <c r="B28" s="30" t="s">
        <v>54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</row>
    <row r="29" ht="14.25" customHeight="1">
      <c r="A29" s="30" t="s">
        <v>55</v>
      </c>
      <c r="B29" s="30" t="s">
        <v>56</v>
      </c>
      <c r="C29" s="30">
        <v>96.9917678833008</v>
      </c>
      <c r="D29" s="30">
        <v>96.9917678833008</v>
      </c>
      <c r="E29" s="30">
        <v>96.9917678833008</v>
      </c>
      <c r="F29" s="30">
        <v>96.9917678833008</v>
      </c>
      <c r="G29" s="30">
        <v>96.9917678833008</v>
      </c>
      <c r="H29" s="30">
        <v>96.9917678833008</v>
      </c>
      <c r="I29" s="30">
        <v>96.9917678833008</v>
      </c>
      <c r="J29" s="30">
        <v>96.9917678833008</v>
      </c>
      <c r="K29" s="30">
        <v>96.9917678833008</v>
      </c>
      <c r="L29" s="30">
        <v>98.3000030517578</v>
      </c>
    </row>
    <row r="30" ht="14.25" customHeight="1">
      <c r="A30" s="30" t="s">
        <v>57</v>
      </c>
      <c r="B30" s="30" t="s">
        <v>58</v>
      </c>
      <c r="C30" s="30">
        <v>86.8231811523438</v>
      </c>
      <c r="D30" s="30">
        <v>86.8231811523438</v>
      </c>
      <c r="E30" s="30">
        <v>86.8231811523438</v>
      </c>
      <c r="F30" s="30">
        <v>86.8231811523438</v>
      </c>
      <c r="G30" s="30">
        <v>86.8231811523438</v>
      </c>
      <c r="H30" s="30">
        <v>86.8231811523438</v>
      </c>
      <c r="I30" s="30">
        <v>86.8231811523438</v>
      </c>
      <c r="J30" s="30">
        <v>86.8231811523438</v>
      </c>
      <c r="K30" s="30">
        <v>86.8231811523438</v>
      </c>
      <c r="L30" s="30">
        <v>86.8231811523438</v>
      </c>
    </row>
    <row r="31" ht="14.25" customHeight="1">
      <c r="A31" s="30" t="s">
        <v>59</v>
      </c>
      <c r="B31" s="30" t="s">
        <v>60</v>
      </c>
      <c r="C31" s="30">
        <v>91.4842376708984</v>
      </c>
      <c r="D31" s="30">
        <v>91.7294311523438</v>
      </c>
      <c r="E31" s="30">
        <v>92.0478973388672</v>
      </c>
      <c r="F31" s="30">
        <v>92.8084411621094</v>
      </c>
      <c r="G31" s="30">
        <v>93.0758209228516</v>
      </c>
      <c r="H31" s="30">
        <v>93.2275009155273</v>
      </c>
      <c r="I31" s="30">
        <v>93.2275009155273</v>
      </c>
      <c r="J31" s="30">
        <v>93.2275009155273</v>
      </c>
      <c r="K31" s="30">
        <v>93.2275009155273</v>
      </c>
      <c r="L31" s="30">
        <v>94.6900024414062</v>
      </c>
    </row>
    <row r="32" ht="14.25" customHeight="1">
      <c r="A32" s="30" t="s">
        <v>61</v>
      </c>
      <c r="B32" s="30" t="s">
        <v>62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</row>
    <row r="33" ht="14.25" customHeight="1">
      <c r="A33" s="30" t="s">
        <v>63</v>
      </c>
      <c r="B33" s="30" t="s">
        <v>64</v>
      </c>
      <c r="C33" s="30">
        <v>96.085563659668</v>
      </c>
      <c r="D33" s="30">
        <v>96.085563659668</v>
      </c>
      <c r="E33" s="30">
        <v>96.085563659668</v>
      </c>
      <c r="F33" s="30">
        <v>96.085563659668</v>
      </c>
      <c r="G33" s="30">
        <v>96.085563659668</v>
      </c>
      <c r="H33" s="30">
        <v>97.214111328125</v>
      </c>
      <c r="I33" s="30">
        <v>97.214111328125</v>
      </c>
      <c r="J33" s="30">
        <v>97.214111328125</v>
      </c>
      <c r="K33" s="30">
        <v>97.5899963378906</v>
      </c>
      <c r="L33" s="30">
        <v>97.5899963378906</v>
      </c>
    </row>
    <row r="34" ht="14.25" customHeight="1">
      <c r="A34" s="30" t="s">
        <v>65</v>
      </c>
      <c r="B34" s="30" t="s">
        <v>66</v>
      </c>
      <c r="C34" s="30">
        <v>98.3524475097656</v>
      </c>
      <c r="D34" s="30">
        <v>98.3524475097656</v>
      </c>
      <c r="E34" s="30">
        <v>98.3524475097656</v>
      </c>
      <c r="F34" s="30">
        <v>98.3524475097656</v>
      </c>
      <c r="G34" s="30">
        <v>98.3524475097656</v>
      </c>
      <c r="H34" s="30">
        <v>98.3524475097656</v>
      </c>
      <c r="I34" s="30">
        <v>98.3524475097656</v>
      </c>
      <c r="J34" s="30">
        <v>98.3524475097656</v>
      </c>
      <c r="K34" s="30">
        <v>98.4199981689453</v>
      </c>
      <c r="L34" s="30">
        <v>98.4199981689453</v>
      </c>
    </row>
    <row r="35" ht="14.25" customHeight="1">
      <c r="A35" s="30" t="s">
        <v>67</v>
      </c>
      <c r="B35" s="30" t="s">
        <v>68</v>
      </c>
      <c r="C35" s="30">
        <v>28.2936592102051</v>
      </c>
      <c r="D35" s="30">
        <v>34.5993995666504</v>
      </c>
      <c r="E35" s="30">
        <v>34.5993995666504</v>
      </c>
      <c r="F35" s="30">
        <v>34.5993995666504</v>
      </c>
      <c r="G35" s="30">
        <v>34.5993995666504</v>
      </c>
      <c r="H35" s="30">
        <v>39.3458518981934</v>
      </c>
      <c r="I35" s="30">
        <v>29.6632804870605</v>
      </c>
      <c r="J35" s="30">
        <v>29.6632804870605</v>
      </c>
      <c r="K35" s="30">
        <v>29.6632804870605</v>
      </c>
      <c r="L35" s="30">
        <v>34.4900016784668</v>
      </c>
    </row>
    <row r="36" ht="14.25" customHeight="1">
      <c r="A36" s="30" t="s">
        <v>69</v>
      </c>
      <c r="B36" s="30" t="s">
        <v>70</v>
      </c>
      <c r="C36" s="30">
        <v>48.0840606689453</v>
      </c>
      <c r="D36" s="30">
        <v>61.5134887695312</v>
      </c>
      <c r="E36" s="30">
        <v>61.5134887695312</v>
      </c>
      <c r="F36" s="30">
        <v>61.5134887695312</v>
      </c>
      <c r="G36" s="30">
        <v>68.3753280639648</v>
      </c>
      <c r="H36" s="30">
        <v>68.3753280639648</v>
      </c>
      <c r="I36" s="30">
        <v>68.3753280639648</v>
      </c>
      <c r="J36" s="30">
        <v>68.3753280639648</v>
      </c>
      <c r="K36" s="30">
        <v>68.3753280639648</v>
      </c>
      <c r="L36" s="30">
        <v>75.5400009155273</v>
      </c>
    </row>
    <row r="37" ht="14.25" customHeight="1">
      <c r="A37" s="30" t="s">
        <v>71</v>
      </c>
      <c r="B37" s="30" t="s">
        <v>72</v>
      </c>
      <c r="C37" s="30">
        <v>85.3277893066406</v>
      </c>
      <c r="D37" s="30">
        <v>85.3277893066406</v>
      </c>
      <c r="E37" s="30">
        <v>86.7902908325195</v>
      </c>
      <c r="F37" s="30">
        <v>86.7902908325195</v>
      </c>
      <c r="G37" s="30">
        <v>86.7902908325195</v>
      </c>
      <c r="H37" s="30">
        <v>86.7902908325195</v>
      </c>
      <c r="I37" s="30">
        <v>86.7902908325195</v>
      </c>
      <c r="J37" s="30">
        <v>86.7902908325195</v>
      </c>
      <c r="K37" s="30">
        <v>86.7902908325195</v>
      </c>
      <c r="L37" s="30">
        <v>91.0</v>
      </c>
    </row>
    <row r="38" ht="14.25" customHeight="1">
      <c r="A38" s="30" t="s">
        <v>73</v>
      </c>
      <c r="B38" s="30" t="s">
        <v>74</v>
      </c>
      <c r="C38" s="30">
        <v>76.1379623413086</v>
      </c>
      <c r="D38" s="30">
        <v>78.0550918579102</v>
      </c>
      <c r="E38" s="30">
        <v>80.5264892578125</v>
      </c>
      <c r="F38" s="30">
        <v>80.5264892578125</v>
      </c>
      <c r="G38" s="30">
        <v>80.5264892578125</v>
      </c>
      <c r="H38" s="30">
        <v>80.5264892578125</v>
      </c>
      <c r="I38" s="30">
        <v>80.5264892578125</v>
      </c>
      <c r="J38" s="30">
        <v>80.5264892578125</v>
      </c>
      <c r="K38" s="30">
        <v>80.5264892578125</v>
      </c>
      <c r="L38" s="30">
        <v>83.7799987792969</v>
      </c>
    </row>
    <row r="39" ht="14.25" customHeight="1">
      <c r="A39" s="30" t="s">
        <v>75</v>
      </c>
      <c r="B39" s="30" t="s">
        <v>76</v>
      </c>
      <c r="C39" s="30">
        <v>71.2905120849609</v>
      </c>
      <c r="D39" s="30">
        <v>71.2905120849609</v>
      </c>
      <c r="E39" s="30">
        <v>71.2905120849609</v>
      </c>
      <c r="F39" s="30">
        <v>71.2905120849609</v>
      </c>
      <c r="G39" s="30">
        <v>71.2905120849609</v>
      </c>
      <c r="H39" s="30">
        <v>77.0710372924805</v>
      </c>
      <c r="I39" s="30">
        <v>77.0710372924805</v>
      </c>
      <c r="J39" s="30">
        <v>78.2300033569336</v>
      </c>
      <c r="K39" s="30">
        <v>78.2300033569336</v>
      </c>
      <c r="L39" s="30">
        <v>78.2300033569336</v>
      </c>
    </row>
    <row r="40" ht="14.25" customHeight="1">
      <c r="A40" s="30" t="s">
        <v>77</v>
      </c>
      <c r="B40" s="30" t="s">
        <v>78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</row>
    <row r="41" ht="14.25" customHeight="1">
      <c r="A41" s="30" t="s">
        <v>79</v>
      </c>
      <c r="B41" s="30" t="s">
        <v>80</v>
      </c>
      <c r="C41" s="30">
        <v>98.8678207397461</v>
      </c>
      <c r="D41" s="30">
        <v>98.8678207397461</v>
      </c>
      <c r="E41" s="30">
        <v>98.8678207397461</v>
      </c>
      <c r="F41" s="30">
        <v>98.8678207397461</v>
      </c>
      <c r="G41" s="30">
        <v>98.8678207397461</v>
      </c>
      <c r="H41" s="30">
        <v>98.8678207397461</v>
      </c>
      <c r="I41" s="30">
        <v>98.8678207397461</v>
      </c>
      <c r="J41" s="30">
        <v>98.8678207397461</v>
      </c>
      <c r="K41" s="30">
        <v>98.8678207397461</v>
      </c>
      <c r="L41" s="30">
        <v>98.8678207397461</v>
      </c>
    </row>
    <row r="42" ht="14.25" customHeight="1">
      <c r="A42" s="30" t="s">
        <v>81</v>
      </c>
      <c r="B42" s="30" t="s">
        <v>82</v>
      </c>
      <c r="C42" s="30">
        <v>36.7526092529297</v>
      </c>
      <c r="D42" s="30">
        <v>36.7526092529297</v>
      </c>
      <c r="E42" s="30">
        <v>36.7526092529297</v>
      </c>
      <c r="F42" s="30">
        <v>36.7526092529297</v>
      </c>
      <c r="G42" s="30">
        <v>36.7526092529297</v>
      </c>
      <c r="H42" s="30">
        <v>37.3958206176758</v>
      </c>
      <c r="I42" s="30">
        <v>37.3958206176758</v>
      </c>
      <c r="J42" s="30">
        <v>37.4900016784668</v>
      </c>
      <c r="K42" s="30">
        <v>37.4900016784668</v>
      </c>
      <c r="L42" s="30">
        <v>37.4900016784668</v>
      </c>
    </row>
    <row r="43" ht="14.25" customHeight="1">
      <c r="A43" s="30" t="s">
        <v>83</v>
      </c>
      <c r="B43" s="30" t="s">
        <v>84</v>
      </c>
      <c r="C43" s="30">
        <v>28.3814296722412</v>
      </c>
      <c r="D43" s="30">
        <v>28.3814296722412</v>
      </c>
      <c r="E43" s="30">
        <v>26.0029907226562</v>
      </c>
      <c r="F43" s="30">
        <v>22.3115501403809</v>
      </c>
      <c r="G43" s="30">
        <v>22.3115501403809</v>
      </c>
      <c r="H43" s="30">
        <v>22.3115501403809</v>
      </c>
      <c r="I43" s="30">
        <v>22.3115501403809</v>
      </c>
      <c r="J43" s="30">
        <v>22.3115501403809</v>
      </c>
      <c r="K43" s="30">
        <v>22.3115501403809</v>
      </c>
      <c r="L43" s="30">
        <v>27.2800006866455</v>
      </c>
    </row>
    <row r="44" ht="14.25" customHeight="1">
      <c r="A44" s="30" t="s">
        <v>85</v>
      </c>
      <c r="B44" s="30" t="s">
        <v>86</v>
      </c>
      <c r="C44" s="30">
        <v>96.2670593261719</v>
      </c>
      <c r="D44" s="30">
        <v>96.2670593261719</v>
      </c>
      <c r="E44" s="30">
        <v>96.8741302490234</v>
      </c>
      <c r="F44" s="30">
        <v>96.8741302490234</v>
      </c>
      <c r="G44" s="30">
        <v>96.4022827148438</v>
      </c>
      <c r="H44" s="30">
        <v>96.4022827148438</v>
      </c>
      <c r="I44" s="30">
        <v>96.4022827148438</v>
      </c>
      <c r="J44" s="30">
        <v>96.4022827148438</v>
      </c>
      <c r="K44" s="30">
        <v>96.4022827148438</v>
      </c>
      <c r="L44" s="30">
        <v>97.1600036621094</v>
      </c>
    </row>
    <row r="45" ht="14.25" customHeight="1">
      <c r="A45" s="30" t="s">
        <v>89</v>
      </c>
      <c r="B45" s="30" t="s">
        <v>90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</row>
    <row r="46" ht="14.25" customHeight="1">
      <c r="A46" s="30" t="s">
        <v>91</v>
      </c>
      <c r="B46" s="30" t="s">
        <v>92</v>
      </c>
      <c r="C46" s="30">
        <v>95.6400375366211</v>
      </c>
      <c r="D46" s="30">
        <v>95.6400375366211</v>
      </c>
      <c r="E46" s="30">
        <v>95.6400375366211</v>
      </c>
      <c r="F46" s="30">
        <v>96.5384902954102</v>
      </c>
      <c r="G46" s="30">
        <v>96.5384902954102</v>
      </c>
      <c r="H46" s="30">
        <v>96.5384902954102</v>
      </c>
      <c r="I46" s="30">
        <v>96.5384902954102</v>
      </c>
      <c r="J46" s="30">
        <v>96.5384902954102</v>
      </c>
      <c r="K46" s="30">
        <v>97.1100006103516</v>
      </c>
      <c r="L46" s="30">
        <v>97.1100006103516</v>
      </c>
    </row>
    <row r="47" ht="14.25" customHeight="1">
      <c r="A47" s="30" t="s">
        <v>471</v>
      </c>
      <c r="B47" s="30" t="s">
        <v>88</v>
      </c>
      <c r="C47" s="30">
        <v>95.1244812011719</v>
      </c>
      <c r="D47" s="30">
        <v>95.1244812011719</v>
      </c>
      <c r="E47" s="30">
        <v>95.1244812011719</v>
      </c>
      <c r="F47" s="30">
        <v>95.1244812011719</v>
      </c>
      <c r="G47" s="30">
        <v>95.1244812011719</v>
      </c>
      <c r="H47" s="30">
        <v>95.1244812011719</v>
      </c>
      <c r="I47" s="30">
        <v>95.1244812011719</v>
      </c>
      <c r="J47" s="30">
        <v>96.7395172119141</v>
      </c>
      <c r="K47" s="30">
        <v>96.7395172119141</v>
      </c>
      <c r="L47" s="30">
        <v>96.7395172119141</v>
      </c>
    </row>
    <row r="48" ht="14.25" customHeight="1">
      <c r="A48" s="30" t="s">
        <v>472</v>
      </c>
      <c r="B48" s="30" t="s">
        <v>473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</row>
    <row r="49" ht="14.25" customHeight="1">
      <c r="A49" s="30" t="s">
        <v>93</v>
      </c>
      <c r="B49" s="30" t="s">
        <v>94</v>
      </c>
      <c r="C49" s="30">
        <v>93.5805282592773</v>
      </c>
      <c r="D49" s="30">
        <v>94.1862487792969</v>
      </c>
      <c r="E49" s="30">
        <v>94.2450485229492</v>
      </c>
      <c r="F49" s="30">
        <v>94.6538467407227</v>
      </c>
      <c r="G49" s="30">
        <v>94.6538467407227</v>
      </c>
      <c r="H49" s="30">
        <v>95.0925064086914</v>
      </c>
      <c r="I49" s="30">
        <v>95.249267578125</v>
      </c>
      <c r="J49" s="30">
        <v>95.6363296508789</v>
      </c>
      <c r="K49" s="30">
        <v>95.6363296508789</v>
      </c>
      <c r="L49" s="30">
        <v>95.6363296508789</v>
      </c>
    </row>
    <row r="50" ht="14.25" customHeight="1">
      <c r="A50" s="30" t="s">
        <v>95</v>
      </c>
      <c r="B50" s="30" t="s">
        <v>96</v>
      </c>
      <c r="C50" s="30">
        <v>49.1961402893066</v>
      </c>
      <c r="D50" s="30">
        <v>49.1961402893066</v>
      </c>
      <c r="E50" s="30">
        <v>49.1961402893066</v>
      </c>
      <c r="F50" s="30">
        <v>49.1961402893066</v>
      </c>
      <c r="G50" s="30">
        <v>49.1961402893066</v>
      </c>
      <c r="H50" s="30">
        <v>49.1961402893066</v>
      </c>
      <c r="I50" s="30">
        <v>49.1961402893066</v>
      </c>
      <c r="J50" s="30">
        <v>49.1961402893066</v>
      </c>
      <c r="K50" s="30">
        <v>49.1961402893066</v>
      </c>
      <c r="L50" s="30">
        <v>61.7099990844727</v>
      </c>
    </row>
    <row r="51" ht="14.25" customHeight="1">
      <c r="A51" s="30" t="s">
        <v>97</v>
      </c>
      <c r="B51" s="30" t="s">
        <v>98</v>
      </c>
      <c r="C51" s="30">
        <v>79.3111724853516</v>
      </c>
      <c r="D51" s="30">
        <v>79.3111724853516</v>
      </c>
      <c r="E51" s="30">
        <v>79.3111724853516</v>
      </c>
      <c r="F51" s="30">
        <v>79.3111724853516</v>
      </c>
      <c r="G51" s="30">
        <v>79.3111724853516</v>
      </c>
      <c r="H51" s="30">
        <v>79.3111724853516</v>
      </c>
      <c r="I51" s="30">
        <v>79.3111724853516</v>
      </c>
      <c r="J51" s="30">
        <v>79.3111724853516</v>
      </c>
      <c r="K51" s="30">
        <v>80.6100006103516</v>
      </c>
      <c r="L51" s="30">
        <v>80.6100006103516</v>
      </c>
    </row>
    <row r="52" ht="14.25" customHeight="1">
      <c r="A52" s="30" t="s">
        <v>99</v>
      </c>
      <c r="B52" s="30" t="s">
        <v>100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</row>
    <row r="53" ht="14.25" customHeight="1">
      <c r="A53" s="30" t="s">
        <v>101</v>
      </c>
      <c r="B53" s="30" t="s">
        <v>102</v>
      </c>
      <c r="C53" s="30">
        <v>97.4065780639648</v>
      </c>
      <c r="D53" s="30">
        <v>97.4065780639648</v>
      </c>
      <c r="E53" s="30">
        <v>97.4065780639648</v>
      </c>
      <c r="F53" s="30">
        <v>97.4065780639648</v>
      </c>
      <c r="G53" s="30">
        <v>97.4065780639648</v>
      </c>
      <c r="H53" s="30">
        <v>97.4065780639648</v>
      </c>
      <c r="I53" s="30">
        <v>97.4065780639648</v>
      </c>
      <c r="J53" s="30">
        <v>97.4065780639648</v>
      </c>
      <c r="K53" s="30">
        <v>98.0400009155273</v>
      </c>
      <c r="L53" s="30">
        <v>98.0400009155273</v>
      </c>
    </row>
    <row r="54" ht="14.25" customHeight="1">
      <c r="A54" s="30" t="s">
        <v>103</v>
      </c>
      <c r="B54" s="30" t="s">
        <v>104</v>
      </c>
      <c r="C54" s="30">
        <v>40.9816284179688</v>
      </c>
      <c r="D54" s="30">
        <v>43.9084205627441</v>
      </c>
      <c r="E54" s="30">
        <v>43.9084205627441</v>
      </c>
      <c r="F54" s="30">
        <v>43.9084205627441</v>
      </c>
      <c r="G54" s="30">
        <v>43.9084205627441</v>
      </c>
      <c r="H54" s="30">
        <v>43.9084205627441</v>
      </c>
      <c r="I54" s="30">
        <v>89.8934173583984</v>
      </c>
      <c r="J54" s="30">
        <v>89.8934173583984</v>
      </c>
      <c r="K54" s="30">
        <v>89.8934173583984</v>
      </c>
      <c r="L54" s="30">
        <v>89.8934173583984</v>
      </c>
    </row>
    <row r="55" ht="14.25" customHeight="1">
      <c r="A55" s="30" t="s">
        <v>105</v>
      </c>
      <c r="B55" s="30" t="s">
        <v>106</v>
      </c>
      <c r="C55" s="30"/>
      <c r="D55" s="30"/>
      <c r="E55" s="30"/>
      <c r="F55" s="30"/>
      <c r="G55" s="30"/>
      <c r="H55" s="30"/>
      <c r="I55" s="30"/>
      <c r="J55" s="30"/>
      <c r="K55" s="30">
        <v>99.4499969482422</v>
      </c>
      <c r="L55" s="30">
        <v>99.4499969482422</v>
      </c>
    </row>
    <row r="56" ht="14.25" customHeight="1">
      <c r="A56" s="30" t="s">
        <v>107</v>
      </c>
      <c r="B56" s="30" t="s">
        <v>108</v>
      </c>
      <c r="C56" s="30">
        <v>99.6731109619141</v>
      </c>
      <c r="D56" s="30">
        <v>99.6731109619141</v>
      </c>
      <c r="E56" s="30">
        <v>99.6731109619141</v>
      </c>
      <c r="F56" s="30">
        <v>99.6731109619141</v>
      </c>
      <c r="G56" s="30">
        <v>99.6731109619141</v>
      </c>
      <c r="H56" s="30">
        <v>99.6731109619141</v>
      </c>
      <c r="I56" s="30">
        <v>99.6731109619141</v>
      </c>
      <c r="J56" s="30">
        <v>99.6731109619141</v>
      </c>
      <c r="K56" s="30">
        <v>99.6731109619141</v>
      </c>
      <c r="L56" s="30">
        <v>99.6731109619141</v>
      </c>
    </row>
    <row r="57" ht="14.25" customHeight="1">
      <c r="A57" s="30" t="s">
        <v>109</v>
      </c>
      <c r="B57" s="30" t="s">
        <v>110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</row>
    <row r="58" ht="14.25" customHeight="1">
      <c r="A58" s="30" t="s">
        <v>111</v>
      </c>
      <c r="B58" s="30" t="s">
        <v>112</v>
      </c>
      <c r="C58" s="30">
        <v>98.6784286499023</v>
      </c>
      <c r="D58" s="30">
        <v>98.6784286499023</v>
      </c>
      <c r="E58" s="30">
        <v>98.6784286499023</v>
      </c>
      <c r="F58" s="30">
        <v>98.6784286499023</v>
      </c>
      <c r="G58" s="30">
        <v>98.6784286499023</v>
      </c>
      <c r="H58" s="30">
        <v>98.6784286499023</v>
      </c>
      <c r="I58" s="30">
        <v>98.6784286499023</v>
      </c>
      <c r="J58" s="30">
        <v>98.6784286499023</v>
      </c>
      <c r="K58" s="30">
        <v>99.3600006103516</v>
      </c>
      <c r="L58" s="30">
        <v>99.3600006103516</v>
      </c>
    </row>
    <row r="59" ht="14.25" customHeight="1">
      <c r="A59" s="30" t="s">
        <v>113</v>
      </c>
      <c r="B59" s="30" t="s">
        <v>114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</row>
    <row r="60" ht="14.25" customHeight="1">
      <c r="A60" s="30" t="s">
        <v>115</v>
      </c>
      <c r="B60" s="30" t="s">
        <v>116</v>
      </c>
      <c r="C60" s="30">
        <v>99.9981918334961</v>
      </c>
      <c r="D60" s="30">
        <v>99.9981918334961</v>
      </c>
      <c r="E60" s="30">
        <v>99.9981918334961</v>
      </c>
      <c r="F60" s="30">
        <v>99.9981918334961</v>
      </c>
      <c r="G60" s="30">
        <v>99.9981918334961</v>
      </c>
      <c r="H60" s="30">
        <v>99.9981918334961</v>
      </c>
      <c r="I60" s="30">
        <v>99.9981918334961</v>
      </c>
      <c r="J60" s="30">
        <v>99.9981918334961</v>
      </c>
      <c r="K60" s="30">
        <v>99.9981918334961</v>
      </c>
      <c r="L60" s="30">
        <v>99.9981918334961</v>
      </c>
    </row>
    <row r="61" ht="14.25" customHeight="1">
      <c r="A61" s="30" t="s">
        <v>117</v>
      </c>
      <c r="B61" s="30" t="s">
        <v>118</v>
      </c>
      <c r="C61" s="30">
        <v>75.0171890258789</v>
      </c>
      <c r="D61" s="30">
        <v>75.0171890258789</v>
      </c>
      <c r="E61" s="30">
        <v>75.0171890258789</v>
      </c>
      <c r="F61" s="30">
        <v>77.0426788330078</v>
      </c>
      <c r="G61" s="30">
        <v>77.0426788330078</v>
      </c>
      <c r="H61" s="30">
        <v>77.0426788330078</v>
      </c>
      <c r="I61" s="30">
        <v>77.0426788330078</v>
      </c>
      <c r="J61" s="30">
        <v>77.0426788330078</v>
      </c>
      <c r="K61" s="30">
        <v>77.0426788330078</v>
      </c>
      <c r="L61" s="30">
        <v>80.5400009155273</v>
      </c>
    </row>
    <row r="62" ht="14.25" customHeight="1">
      <c r="A62" s="30" t="s">
        <v>119</v>
      </c>
      <c r="B62" s="30" t="s">
        <v>120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</row>
    <row r="63" ht="14.25" customHeight="1">
      <c r="A63" s="30" t="s">
        <v>121</v>
      </c>
      <c r="B63" s="30" t="s">
        <v>122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</row>
    <row r="64" ht="14.25" customHeight="1">
      <c r="A64" s="30" t="s">
        <v>123</v>
      </c>
      <c r="B64" s="30" t="s">
        <v>124</v>
      </c>
      <c r="C64" s="30"/>
      <c r="D64" s="30"/>
      <c r="E64" s="30"/>
      <c r="F64" s="30"/>
      <c r="G64" s="30"/>
      <c r="H64" s="30"/>
      <c r="I64" s="30"/>
      <c r="J64" s="30"/>
      <c r="K64" s="30"/>
      <c r="L64" s="30"/>
    </row>
    <row r="65" ht="14.25" customHeight="1">
      <c r="A65" s="30" t="s">
        <v>125</v>
      </c>
      <c r="B65" s="30" t="s">
        <v>126</v>
      </c>
      <c r="C65" s="30">
        <v>90.8581466674805</v>
      </c>
      <c r="D65" s="30">
        <v>91.7637634277344</v>
      </c>
      <c r="E65" s="30">
        <v>91.9912109375</v>
      </c>
      <c r="F65" s="30">
        <v>93.7784576416016</v>
      </c>
      <c r="G65" s="30">
        <v>93.7784576416016</v>
      </c>
      <c r="H65" s="30">
        <v>93.7784576416016</v>
      </c>
      <c r="I65" s="30">
        <v>93.7784576416016</v>
      </c>
      <c r="J65" s="30">
        <v>93.7784576416016</v>
      </c>
      <c r="K65" s="30">
        <v>93.7784576416016</v>
      </c>
      <c r="L65" s="30">
        <v>95.5</v>
      </c>
    </row>
    <row r="66" ht="14.25" customHeight="1">
      <c r="A66" s="30" t="s">
        <v>127</v>
      </c>
      <c r="B66" s="30" t="s">
        <v>128</v>
      </c>
      <c r="C66" s="30">
        <v>93.2946319580078</v>
      </c>
      <c r="D66" s="30">
        <v>94.2226409912109</v>
      </c>
      <c r="E66" s="30">
        <v>94.4556579589844</v>
      </c>
      <c r="F66" s="30">
        <v>94.350227355957</v>
      </c>
      <c r="G66" s="30">
        <v>92.8297882080078</v>
      </c>
      <c r="H66" s="30">
        <v>92.8297882080078</v>
      </c>
      <c r="I66" s="30">
        <v>92.8297882080078</v>
      </c>
      <c r="J66" s="30">
        <v>93.6260986328125</v>
      </c>
      <c r="K66" s="30">
        <v>94.4835891723633</v>
      </c>
      <c r="L66" s="30">
        <v>93.9481201171875</v>
      </c>
    </row>
    <row r="67" ht="14.25" customHeight="1">
      <c r="A67" s="30" t="s">
        <v>129</v>
      </c>
      <c r="B67" s="30" t="s">
        <v>130</v>
      </c>
      <c r="C67" s="30">
        <v>72.442497253418</v>
      </c>
      <c r="D67" s="30">
        <v>72.442497253418</v>
      </c>
      <c r="E67" s="30">
        <v>72.442497253418</v>
      </c>
      <c r="F67" s="30">
        <v>72.442497253418</v>
      </c>
      <c r="G67" s="30">
        <v>71.1682510375977</v>
      </c>
      <c r="H67" s="30">
        <v>71.1682510375977</v>
      </c>
      <c r="I67" s="30">
        <v>71.1682510375977</v>
      </c>
      <c r="J67" s="30">
        <v>71.1682510375977</v>
      </c>
      <c r="K67" s="30">
        <v>71.1682510375977</v>
      </c>
      <c r="L67" s="30">
        <v>74.5</v>
      </c>
    </row>
    <row r="68" ht="14.25" customHeight="1">
      <c r="A68" s="30" t="s">
        <v>131</v>
      </c>
      <c r="B68" s="30" t="s">
        <v>132</v>
      </c>
      <c r="C68" s="30">
        <v>86.767578125</v>
      </c>
      <c r="D68" s="30">
        <v>86.767578125</v>
      </c>
      <c r="E68" s="30">
        <v>87.9698486328125</v>
      </c>
      <c r="F68" s="30">
        <v>88.1417694091797</v>
      </c>
      <c r="G68" s="30">
        <v>88.4827117919922</v>
      </c>
      <c r="H68" s="30">
        <v>89.0085983276367</v>
      </c>
      <c r="I68" s="30">
        <v>89.1379165649414</v>
      </c>
      <c r="J68" s="30">
        <v>89.9845275878906</v>
      </c>
      <c r="K68" s="30">
        <v>89.9845275878906</v>
      </c>
      <c r="L68" s="30">
        <v>89.9845275878906</v>
      </c>
    </row>
    <row r="69" ht="14.25" customHeight="1">
      <c r="A69" s="30" t="s">
        <v>133</v>
      </c>
      <c r="B69" s="30" t="s">
        <v>134</v>
      </c>
      <c r="C69" s="30">
        <v>94.3705368041992</v>
      </c>
      <c r="D69" s="30">
        <v>94.3705368041992</v>
      </c>
      <c r="E69" s="30">
        <v>94.3705368041992</v>
      </c>
      <c r="F69" s="30">
        <v>94.3705368041992</v>
      </c>
      <c r="G69" s="30">
        <v>94.3705368041992</v>
      </c>
      <c r="H69" s="30">
        <v>94.3705368041992</v>
      </c>
      <c r="I69" s="30">
        <v>94.3705368041992</v>
      </c>
      <c r="J69" s="30">
        <v>94.3705368041992</v>
      </c>
      <c r="K69" s="30"/>
      <c r="L69" s="30"/>
    </row>
    <row r="70" ht="14.25" customHeight="1">
      <c r="A70" s="30" t="s">
        <v>135</v>
      </c>
      <c r="B70" s="30" t="s">
        <v>136</v>
      </c>
      <c r="C70" s="30">
        <v>64.662971496582</v>
      </c>
      <c r="D70" s="30">
        <v>64.662971496582</v>
      </c>
      <c r="E70" s="30">
        <v>64.662971496582</v>
      </c>
      <c r="F70" s="30">
        <v>64.662971496582</v>
      </c>
      <c r="G70" s="30">
        <v>64.662971496582</v>
      </c>
      <c r="H70" s="30">
        <v>76.5705184936523</v>
      </c>
      <c r="I70" s="30">
        <v>76.5705184936523</v>
      </c>
      <c r="J70" s="30">
        <v>76.5705184936523</v>
      </c>
      <c r="K70" s="30">
        <v>76.5705184936523</v>
      </c>
      <c r="L70" s="30">
        <v>76.5705184936523</v>
      </c>
    </row>
    <row r="71" ht="14.25" customHeight="1">
      <c r="A71" s="30" t="s">
        <v>137</v>
      </c>
      <c r="B71" s="30" t="s">
        <v>138</v>
      </c>
      <c r="C71" s="30">
        <v>99.8857879638672</v>
      </c>
      <c r="D71" s="30">
        <v>99.8857879638672</v>
      </c>
      <c r="E71" s="30">
        <v>99.8857879638672</v>
      </c>
      <c r="F71" s="30">
        <v>99.8857879638672</v>
      </c>
      <c r="G71" s="30">
        <v>99.8857879638672</v>
      </c>
      <c r="H71" s="30">
        <v>99.8857879638672</v>
      </c>
      <c r="I71" s="30">
        <v>99.8857879638672</v>
      </c>
      <c r="J71" s="30">
        <v>99.8857879638672</v>
      </c>
      <c r="K71" s="30">
        <v>99.870002746582</v>
      </c>
      <c r="L71" s="30">
        <v>99.870002746582</v>
      </c>
    </row>
    <row r="72" ht="14.25" customHeight="1">
      <c r="A72" s="30" t="s">
        <v>139</v>
      </c>
      <c r="B72" s="30" t="s">
        <v>140</v>
      </c>
      <c r="C72" s="30">
        <v>83.0982894897461</v>
      </c>
      <c r="D72" s="30">
        <v>83.0982894897461</v>
      </c>
      <c r="E72" s="30">
        <v>83.0982894897461</v>
      </c>
      <c r="F72" s="30">
        <v>83.0982894897461</v>
      </c>
      <c r="G72" s="30">
        <v>83.0982894897461</v>
      </c>
      <c r="H72" s="30">
        <v>83.0982894897461</v>
      </c>
      <c r="I72" s="30">
        <v>83.0982894897461</v>
      </c>
      <c r="J72" s="30">
        <v>89.2799987792969</v>
      </c>
      <c r="K72" s="30">
        <v>89.2799987792969</v>
      </c>
      <c r="L72" s="30">
        <v>89.2799987792969</v>
      </c>
    </row>
    <row r="73" ht="14.25" customHeight="1">
      <c r="A73" s="30" t="s">
        <v>141</v>
      </c>
      <c r="B73" s="30" t="s">
        <v>142</v>
      </c>
      <c r="C73" s="30">
        <v>38.995979309082</v>
      </c>
      <c r="D73" s="30">
        <v>38.995979309082</v>
      </c>
      <c r="E73" s="30">
        <v>38.995979309082</v>
      </c>
      <c r="F73" s="30">
        <v>38.995979309082</v>
      </c>
      <c r="G73" s="30">
        <v>51.7711791992188</v>
      </c>
      <c r="H73" s="30">
        <v>51.7711791992188</v>
      </c>
      <c r="I73" s="30">
        <v>51.7711791992188</v>
      </c>
      <c r="J73" s="30">
        <v>51.7711791992188</v>
      </c>
      <c r="K73" s="30">
        <v>51.7711791992188</v>
      </c>
      <c r="L73" s="30">
        <v>51.7711791992188</v>
      </c>
    </row>
    <row r="74" ht="14.25" customHeight="1">
      <c r="A74" s="30" t="s">
        <v>143</v>
      </c>
      <c r="B74" s="30" t="s">
        <v>144</v>
      </c>
      <c r="C74" s="30"/>
      <c r="D74" s="30"/>
      <c r="E74" s="30"/>
      <c r="F74" s="30"/>
      <c r="G74" s="30"/>
      <c r="H74" s="30"/>
      <c r="I74" s="30"/>
      <c r="J74" s="30"/>
      <c r="K74" s="30"/>
      <c r="L74" s="30"/>
    </row>
    <row r="75" ht="14.25" customHeight="1">
      <c r="A75" s="30" t="s">
        <v>145</v>
      </c>
      <c r="B75" s="30" t="s">
        <v>146</v>
      </c>
      <c r="C75" s="30"/>
      <c r="D75" s="30"/>
      <c r="E75" s="30"/>
      <c r="F75" s="30"/>
      <c r="G75" s="30"/>
      <c r="H75" s="30"/>
      <c r="I75" s="30"/>
      <c r="J75" s="30"/>
      <c r="K75" s="30"/>
      <c r="L75" s="30"/>
    </row>
    <row r="76" ht="14.25" customHeight="1">
      <c r="A76" s="30" t="s">
        <v>147</v>
      </c>
      <c r="B76" s="30" t="s">
        <v>148</v>
      </c>
      <c r="C76" s="30"/>
      <c r="D76" s="30"/>
      <c r="E76" s="30"/>
      <c r="F76" s="30"/>
      <c r="G76" s="30"/>
      <c r="H76" s="30"/>
      <c r="I76" s="30"/>
      <c r="J76" s="30"/>
      <c r="K76" s="30"/>
      <c r="L76" s="30"/>
    </row>
    <row r="77" ht="14.25" customHeight="1">
      <c r="A77" s="30" t="s">
        <v>149</v>
      </c>
      <c r="B77" s="30" t="s">
        <v>150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</row>
    <row r="78" ht="14.25" customHeight="1">
      <c r="A78" s="30" t="s">
        <v>151</v>
      </c>
      <c r="B78" s="30" t="s">
        <v>152</v>
      </c>
      <c r="C78" s="30"/>
      <c r="D78" s="30"/>
      <c r="E78" s="30"/>
      <c r="F78" s="30"/>
      <c r="G78" s="30"/>
      <c r="H78" s="30"/>
      <c r="I78" s="30"/>
      <c r="J78" s="30"/>
      <c r="K78" s="30"/>
      <c r="L78" s="30"/>
    </row>
    <row r="79" ht="14.25" customHeight="1">
      <c r="A79" s="30" t="s">
        <v>153</v>
      </c>
      <c r="B79" s="30" t="s">
        <v>154</v>
      </c>
      <c r="C79" s="30"/>
      <c r="D79" s="30"/>
      <c r="E79" s="30"/>
      <c r="F79" s="30"/>
      <c r="G79" s="30"/>
      <c r="H79" s="30"/>
      <c r="I79" s="30"/>
      <c r="J79" s="30"/>
      <c r="K79" s="30"/>
      <c r="L79" s="30"/>
    </row>
    <row r="80" ht="14.25" customHeight="1">
      <c r="A80" s="30" t="s">
        <v>155</v>
      </c>
      <c r="B80" s="30" t="s">
        <v>156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</row>
    <row r="81" ht="14.25" customHeight="1">
      <c r="A81" s="30" t="s">
        <v>157</v>
      </c>
      <c r="B81" s="30" t="s">
        <v>158</v>
      </c>
      <c r="C81" s="30">
        <v>82.2837982177734</v>
      </c>
      <c r="D81" s="30">
        <v>82.2837982177734</v>
      </c>
      <c r="E81" s="30">
        <v>82.2837982177734</v>
      </c>
      <c r="F81" s="30">
        <v>82.2837982177734</v>
      </c>
      <c r="G81" s="30">
        <v>82.2837982177734</v>
      </c>
      <c r="H81" s="30">
        <v>82.2837982177734</v>
      </c>
      <c r="I81" s="30">
        <v>82.2837982177734</v>
      </c>
      <c r="J81" s="30">
        <v>82.2837982177734</v>
      </c>
      <c r="K81" s="30">
        <v>82.2837982177734</v>
      </c>
      <c r="L81" s="30">
        <v>85.6900024414062</v>
      </c>
    </row>
    <row r="82" ht="14.25" customHeight="1">
      <c r="A82" s="30" t="s">
        <v>159</v>
      </c>
      <c r="B82" s="30" t="s">
        <v>160</v>
      </c>
      <c r="C82" s="30">
        <v>41.9500503540039</v>
      </c>
      <c r="D82" s="30">
        <v>41.9500503540039</v>
      </c>
      <c r="E82" s="30">
        <v>50.7779693603516</v>
      </c>
      <c r="F82" s="30">
        <v>50.7779693603516</v>
      </c>
      <c r="G82" s="30">
        <v>50.7779693603516</v>
      </c>
      <c r="H82" s="30">
        <v>50.7779693603516</v>
      </c>
      <c r="I82" s="30">
        <v>50.7779693603516</v>
      </c>
      <c r="J82" s="30">
        <v>50.7779693603516</v>
      </c>
      <c r="K82" s="30">
        <v>50.7779693603516</v>
      </c>
      <c r="L82" s="30">
        <v>58.6699981689453</v>
      </c>
    </row>
    <row r="83" ht="14.25" customHeight="1">
      <c r="A83" s="30" t="s">
        <v>161</v>
      </c>
      <c r="B83" s="30" t="s">
        <v>162</v>
      </c>
      <c r="C83" s="30"/>
      <c r="D83" s="30">
        <v>99.5861892700195</v>
      </c>
      <c r="E83" s="30">
        <v>99.5861892700195</v>
      </c>
      <c r="F83" s="30">
        <v>99.5861892700195</v>
      </c>
      <c r="G83" s="30">
        <v>99.3642578125</v>
      </c>
      <c r="H83" s="30">
        <v>99.3642578125</v>
      </c>
      <c r="I83" s="30">
        <v>99.3642578125</v>
      </c>
      <c r="J83" s="30">
        <v>99.3642578125</v>
      </c>
      <c r="K83" s="30">
        <v>99.3642578125</v>
      </c>
      <c r="L83" s="30">
        <v>99.5749893188477</v>
      </c>
    </row>
    <row r="84" ht="14.25" customHeight="1">
      <c r="A84" s="30" t="s">
        <v>163</v>
      </c>
      <c r="B84" s="30" t="s">
        <v>164</v>
      </c>
      <c r="C84" s="30"/>
      <c r="D84" s="30"/>
      <c r="E84" s="30"/>
      <c r="F84" s="30"/>
      <c r="G84" s="30"/>
      <c r="H84" s="30"/>
      <c r="I84" s="30"/>
      <c r="J84" s="30"/>
      <c r="K84" s="30"/>
      <c r="L84" s="30"/>
    </row>
    <row r="85" ht="14.25" customHeight="1">
      <c r="A85" s="30" t="s">
        <v>165</v>
      </c>
      <c r="B85" s="30" t="s">
        <v>166</v>
      </c>
      <c r="C85" s="30">
        <v>71.4970703125</v>
      </c>
      <c r="D85" s="30">
        <v>71.4970703125</v>
      </c>
      <c r="E85" s="30">
        <v>71.4970703125</v>
      </c>
      <c r="F85" s="30">
        <v>71.4970703125</v>
      </c>
      <c r="G85" s="30">
        <v>71.4970703125</v>
      </c>
      <c r="H85" s="30">
        <v>71.4970703125</v>
      </c>
      <c r="I85" s="30">
        <v>71.4970703125</v>
      </c>
      <c r="J85" s="30">
        <v>80.379997253418</v>
      </c>
      <c r="K85" s="30">
        <v>80.379997253418</v>
      </c>
      <c r="L85" s="30">
        <v>80.379997253418</v>
      </c>
    </row>
    <row r="86" ht="14.25" customHeight="1">
      <c r="A86" s="30" t="s">
        <v>167</v>
      </c>
      <c r="B86" s="30" t="s">
        <v>168</v>
      </c>
      <c r="C86" s="30"/>
      <c r="D86" s="30"/>
      <c r="E86" s="30"/>
      <c r="F86" s="30"/>
      <c r="G86" s="30"/>
      <c r="H86" s="30"/>
      <c r="I86" s="30"/>
      <c r="J86" s="30"/>
      <c r="K86" s="30"/>
      <c r="L86" s="30"/>
    </row>
    <row r="87" ht="14.25" customHeight="1">
      <c r="A87" s="30" t="s">
        <v>169</v>
      </c>
      <c r="B87" s="30" t="s">
        <v>170</v>
      </c>
      <c r="C87" s="30">
        <v>93.9051132202148</v>
      </c>
      <c r="D87" s="30">
        <v>93.9051132202148</v>
      </c>
      <c r="E87" s="30">
        <v>93.9051132202148</v>
      </c>
      <c r="F87" s="30">
        <v>93.9051132202148</v>
      </c>
      <c r="G87" s="30">
        <v>93.9051132202148</v>
      </c>
      <c r="H87" s="30">
        <v>93.9051132202148</v>
      </c>
      <c r="I87" s="30">
        <v>93.9051132202148</v>
      </c>
      <c r="J87" s="30"/>
      <c r="K87" s="30"/>
      <c r="L87" s="30"/>
    </row>
    <row r="88" ht="14.25" customHeight="1">
      <c r="A88" s="30" t="s">
        <v>171</v>
      </c>
      <c r="B88" s="30" t="s">
        <v>172</v>
      </c>
      <c r="C88" s="30"/>
      <c r="D88" s="30"/>
      <c r="E88" s="30"/>
      <c r="F88" s="30"/>
      <c r="G88" s="30"/>
      <c r="H88" s="30"/>
      <c r="I88" s="30"/>
      <c r="J88" s="30"/>
      <c r="K88" s="30"/>
      <c r="L88" s="30"/>
    </row>
    <row r="89" ht="14.25" customHeight="1">
      <c r="A89" s="30" t="s">
        <v>173</v>
      </c>
      <c r="B89" s="30" t="s">
        <v>174</v>
      </c>
      <c r="C89" s="30"/>
      <c r="D89" s="30"/>
      <c r="E89" s="30"/>
      <c r="F89" s="30"/>
      <c r="G89" s="30"/>
      <c r="H89" s="30"/>
      <c r="I89" s="30"/>
      <c r="J89" s="30"/>
      <c r="K89" s="30"/>
      <c r="L89" s="30"/>
    </row>
    <row r="90" ht="14.25" customHeight="1">
      <c r="A90" s="30" t="s">
        <v>175</v>
      </c>
      <c r="B90" s="30" t="s">
        <v>176</v>
      </c>
      <c r="C90" s="30"/>
      <c r="D90" s="30"/>
      <c r="E90" s="30"/>
      <c r="F90" s="30"/>
      <c r="G90" s="30"/>
      <c r="H90" s="30"/>
      <c r="I90" s="30"/>
      <c r="J90" s="30"/>
      <c r="K90" s="30"/>
      <c r="L90" s="30"/>
    </row>
    <row r="91" ht="14.25" customHeight="1">
      <c r="A91" s="30" t="s">
        <v>177</v>
      </c>
      <c r="B91" s="30" t="s">
        <v>178</v>
      </c>
      <c r="C91" s="30"/>
      <c r="D91" s="30"/>
      <c r="E91" s="30"/>
      <c r="F91" s="30"/>
      <c r="G91" s="30"/>
      <c r="H91" s="30"/>
      <c r="I91" s="30"/>
      <c r="J91" s="30"/>
      <c r="K91" s="30"/>
      <c r="L91" s="30"/>
    </row>
    <row r="92" ht="14.25" customHeight="1">
      <c r="A92" s="30" t="s">
        <v>179</v>
      </c>
      <c r="B92" s="30" t="s">
        <v>180</v>
      </c>
      <c r="C92" s="30">
        <v>77.0386734008789</v>
      </c>
      <c r="D92" s="30">
        <v>81.2858963012695</v>
      </c>
      <c r="E92" s="30">
        <v>81.2858963012695</v>
      </c>
      <c r="F92" s="30">
        <v>81.2858963012695</v>
      </c>
      <c r="G92" s="30">
        <v>81.2858963012695</v>
      </c>
      <c r="H92" s="30">
        <v>80.810676574707</v>
      </c>
      <c r="I92" s="30">
        <v>80.810676574707</v>
      </c>
      <c r="J92" s="30">
        <v>80.810676574707</v>
      </c>
      <c r="K92" s="30">
        <v>80.810676574707</v>
      </c>
      <c r="L92" s="30">
        <v>84.2699966430664</v>
      </c>
    </row>
    <row r="93" ht="14.25" customHeight="1">
      <c r="A93" s="30" t="s">
        <v>181</v>
      </c>
      <c r="B93" s="30" t="s">
        <v>182</v>
      </c>
      <c r="C93" s="30">
        <v>25.3077392578125</v>
      </c>
      <c r="D93" s="30">
        <v>32.0038414001465</v>
      </c>
      <c r="E93" s="30">
        <v>32.0038414001465</v>
      </c>
      <c r="F93" s="30">
        <v>32.0038414001465</v>
      </c>
      <c r="G93" s="30">
        <v>32.0038414001465</v>
      </c>
      <c r="H93" s="30">
        <v>39.6176795959473</v>
      </c>
      <c r="I93" s="30">
        <v>39.6176795959473</v>
      </c>
      <c r="J93" s="30">
        <v>39.6176795959473</v>
      </c>
      <c r="K93" s="30">
        <v>45.3300018310547</v>
      </c>
      <c r="L93" s="30">
        <v>45.3300018310547</v>
      </c>
    </row>
    <row r="94" ht="14.25" customHeight="1">
      <c r="A94" s="30" t="s">
        <v>183</v>
      </c>
      <c r="B94" s="30" t="s">
        <v>184</v>
      </c>
      <c r="C94" s="30"/>
      <c r="D94" s="30">
        <v>45.5811614990234</v>
      </c>
      <c r="E94" s="30">
        <v>45.5811614990234</v>
      </c>
      <c r="F94" s="30">
        <v>45.5811614990234</v>
      </c>
      <c r="G94" s="30">
        <v>45.5811614990234</v>
      </c>
      <c r="H94" s="30">
        <v>45.5811614990234</v>
      </c>
      <c r="I94" s="30">
        <v>45.5811614990234</v>
      </c>
      <c r="J94" s="30">
        <v>45.5811614990234</v>
      </c>
      <c r="K94" s="30">
        <v>45.5811614990234</v>
      </c>
      <c r="L94" s="30">
        <v>53.9000015258789</v>
      </c>
    </row>
    <row r="95" ht="14.25" customHeight="1">
      <c r="A95" s="30" t="s">
        <v>185</v>
      </c>
      <c r="B95" s="30" t="s">
        <v>186</v>
      </c>
      <c r="C95" s="30">
        <v>84.994010925293</v>
      </c>
      <c r="D95" s="30">
        <v>85.6397323608398</v>
      </c>
      <c r="E95" s="30">
        <v>85.6397323608398</v>
      </c>
      <c r="F95" s="30">
        <v>85.6397323608398</v>
      </c>
      <c r="G95" s="30">
        <v>85.6397323608398</v>
      </c>
      <c r="H95" s="30">
        <v>85.6397323608398</v>
      </c>
      <c r="I95" s="30">
        <v>85.6397323608398</v>
      </c>
      <c r="J95" s="30">
        <v>85.6397323608398</v>
      </c>
      <c r="K95" s="30">
        <v>85.6397323608398</v>
      </c>
      <c r="L95" s="30">
        <v>90.0299987792969</v>
      </c>
    </row>
    <row r="96" ht="14.25" customHeight="1">
      <c r="A96" s="30" t="s">
        <v>187</v>
      </c>
      <c r="B96" s="30" t="s">
        <v>188</v>
      </c>
      <c r="C96" s="30">
        <v>48.6850204467773</v>
      </c>
      <c r="D96" s="30">
        <v>48.6850204467773</v>
      </c>
      <c r="E96" s="30">
        <v>48.6850204467773</v>
      </c>
      <c r="F96" s="30">
        <v>61.691349029541</v>
      </c>
      <c r="G96" s="30">
        <v>61.691349029541</v>
      </c>
      <c r="H96" s="30">
        <v>61.691349029541</v>
      </c>
      <c r="I96" s="30">
        <v>61.691349029541</v>
      </c>
      <c r="J96" s="30">
        <v>61.691349029541</v>
      </c>
      <c r="K96" s="30">
        <v>61.691349029541</v>
      </c>
      <c r="L96" s="30">
        <v>61.691349029541</v>
      </c>
    </row>
    <row r="97" ht="14.25" customHeight="1">
      <c r="A97" s="30" t="s">
        <v>189</v>
      </c>
      <c r="B97" s="30" t="s">
        <v>190</v>
      </c>
      <c r="C97" s="30"/>
      <c r="D97" s="30"/>
      <c r="E97" s="30"/>
      <c r="F97" s="30"/>
      <c r="G97" s="30"/>
      <c r="H97" s="30"/>
      <c r="I97" s="30"/>
      <c r="J97" s="30"/>
      <c r="K97" s="30"/>
      <c r="L97" s="30"/>
    </row>
    <row r="98" ht="14.25" customHeight="1">
      <c r="A98" s="30" t="s">
        <v>191</v>
      </c>
      <c r="B98" s="30" t="s">
        <v>192</v>
      </c>
      <c r="C98" s="30">
        <v>85.4644165039062</v>
      </c>
      <c r="D98" s="30">
        <v>87.1975326538086</v>
      </c>
      <c r="E98" s="30">
        <v>87.9068298339844</v>
      </c>
      <c r="F98" s="30">
        <v>88.9874801635742</v>
      </c>
      <c r="G98" s="30">
        <v>88.9874801635742</v>
      </c>
      <c r="H98" s="30">
        <v>87.2052383422852</v>
      </c>
      <c r="I98" s="30">
        <v>88.5074310302734</v>
      </c>
      <c r="J98" s="30">
        <v>88.5074310302734</v>
      </c>
      <c r="K98" s="30">
        <v>88.5074310302734</v>
      </c>
      <c r="L98" s="30">
        <v>88.5074310302734</v>
      </c>
    </row>
    <row r="99" ht="14.25" customHeight="1">
      <c r="A99" s="30" t="s">
        <v>193</v>
      </c>
      <c r="B99" s="30" t="s">
        <v>194</v>
      </c>
      <c r="C99" s="30"/>
      <c r="D99" s="30"/>
      <c r="E99" s="30"/>
      <c r="F99" s="30"/>
      <c r="G99" s="30"/>
      <c r="H99" s="30"/>
      <c r="I99" s="30"/>
      <c r="J99" s="30"/>
      <c r="K99" s="30">
        <v>99.0999984741211</v>
      </c>
      <c r="L99" s="30">
        <v>99.0999984741211</v>
      </c>
    </row>
    <row r="100" ht="14.25" customHeight="1">
      <c r="A100" s="30" t="s">
        <v>195</v>
      </c>
      <c r="B100" s="30" t="s">
        <v>196</v>
      </c>
      <c r="C100" s="30"/>
      <c r="D100" s="30"/>
      <c r="E100" s="30"/>
      <c r="F100" s="30"/>
      <c r="G100" s="30"/>
      <c r="H100" s="30"/>
      <c r="I100" s="30"/>
      <c r="J100" s="30"/>
      <c r="K100" s="30"/>
      <c r="L100" s="30"/>
    </row>
    <row r="101" ht="14.25" customHeight="1">
      <c r="A101" s="30" t="s">
        <v>197</v>
      </c>
      <c r="B101" s="30" t="s">
        <v>198</v>
      </c>
      <c r="C101" s="30">
        <v>69.3025588989258</v>
      </c>
      <c r="D101" s="30">
        <v>69.3025588989258</v>
      </c>
      <c r="E101" s="30">
        <v>69.3025588989258</v>
      </c>
      <c r="F101" s="30">
        <v>69.3025588989258</v>
      </c>
      <c r="G101" s="30">
        <v>69.3025588989258</v>
      </c>
      <c r="H101" s="30">
        <v>69.3025588989258</v>
      </c>
      <c r="I101" s="30">
        <v>69.3025588989258</v>
      </c>
      <c r="J101" s="30">
        <v>69.3025588989258</v>
      </c>
      <c r="K101" s="30">
        <v>69.3025588989258</v>
      </c>
      <c r="L101" s="30">
        <v>76.3227767944336</v>
      </c>
    </row>
    <row r="102" ht="14.25" customHeight="1">
      <c r="A102" s="30" t="s">
        <v>199</v>
      </c>
      <c r="B102" s="30" t="s">
        <v>200</v>
      </c>
      <c r="C102" s="30">
        <v>92.8119125366211</v>
      </c>
      <c r="D102" s="30">
        <v>95.1162185668945</v>
      </c>
      <c r="E102" s="30">
        <v>95.2179336547852</v>
      </c>
      <c r="F102" s="30">
        <v>95.3769683837891</v>
      </c>
      <c r="G102" s="30">
        <v>95.3769683837891</v>
      </c>
      <c r="H102" s="30">
        <v>95.658561706543</v>
      </c>
      <c r="I102" s="30">
        <v>95.658561706543</v>
      </c>
      <c r="J102" s="30">
        <v>95.9990081787109</v>
      </c>
      <c r="K102" s="30">
        <v>95.9990081787109</v>
      </c>
      <c r="L102" s="30">
        <v>95.9990081787109</v>
      </c>
    </row>
    <row r="103" ht="14.25" customHeight="1">
      <c r="A103" s="30" t="s">
        <v>201</v>
      </c>
      <c r="B103" s="30" t="s">
        <v>202</v>
      </c>
      <c r="C103" s="30">
        <v>84.6268005371094</v>
      </c>
      <c r="D103" s="30">
        <v>84.7052383422852</v>
      </c>
      <c r="E103" s="30">
        <v>84.7052383422852</v>
      </c>
      <c r="F103" s="30">
        <v>85.5442504882812</v>
      </c>
      <c r="G103" s="30">
        <v>85.5442504882812</v>
      </c>
      <c r="H103" s="30">
        <v>85.5442504882812</v>
      </c>
      <c r="I103" s="30">
        <v>85.5442504882812</v>
      </c>
      <c r="J103" s="30">
        <v>85.5442504882812</v>
      </c>
      <c r="K103" s="30">
        <v>85.5442504882812</v>
      </c>
      <c r="L103" s="30">
        <v>88.9599990844727</v>
      </c>
    </row>
    <row r="104" ht="14.25" customHeight="1">
      <c r="A104" s="30" t="s">
        <v>203</v>
      </c>
      <c r="B104" s="30" t="s">
        <v>204</v>
      </c>
      <c r="C104" s="30">
        <v>77.1999969482422</v>
      </c>
      <c r="D104" s="30">
        <v>82.1999969482422</v>
      </c>
      <c r="E104" s="30">
        <v>82.1999969482422</v>
      </c>
      <c r="F104" s="30">
        <v>83.3000030517578</v>
      </c>
      <c r="G104" s="30">
        <v>85.5999984741211</v>
      </c>
      <c r="H104" s="30">
        <v>85.5999984741211</v>
      </c>
      <c r="I104" s="30">
        <v>85.5999984741211</v>
      </c>
      <c r="J104" s="30">
        <v>85.5999984741211</v>
      </c>
      <c r="K104" s="30">
        <v>85.5999984741211</v>
      </c>
      <c r="L104" s="30">
        <v>85.5999984741211</v>
      </c>
    </row>
    <row r="105" ht="14.25" customHeight="1">
      <c r="A105" s="30" t="s">
        <v>205</v>
      </c>
      <c r="B105" s="30" t="s">
        <v>206</v>
      </c>
      <c r="C105" s="30"/>
      <c r="D105" s="30"/>
      <c r="E105" s="30"/>
      <c r="F105" s="30"/>
      <c r="G105" s="30"/>
      <c r="H105" s="30"/>
      <c r="I105" s="30"/>
      <c r="J105" s="30"/>
      <c r="K105" s="30"/>
      <c r="L105" s="30"/>
    </row>
    <row r="106" ht="14.25" customHeight="1">
      <c r="A106" s="30" t="s">
        <v>207</v>
      </c>
      <c r="B106" s="30" t="s">
        <v>208</v>
      </c>
      <c r="C106" s="30"/>
      <c r="D106" s="30"/>
      <c r="E106" s="30"/>
      <c r="F106" s="30"/>
      <c r="G106" s="30"/>
      <c r="H106" s="30"/>
      <c r="I106" s="30"/>
      <c r="J106" s="30"/>
      <c r="K106" s="30"/>
      <c r="L106" s="30"/>
    </row>
    <row r="107" ht="14.25" customHeight="1">
      <c r="A107" s="30" t="s">
        <v>209</v>
      </c>
      <c r="B107" s="30" t="s">
        <v>210</v>
      </c>
      <c r="C107" s="30"/>
      <c r="D107" s="30"/>
      <c r="E107" s="30"/>
      <c r="F107" s="30"/>
      <c r="G107" s="30"/>
      <c r="H107" s="30"/>
      <c r="I107" s="30"/>
      <c r="J107" s="30"/>
      <c r="K107" s="30"/>
      <c r="L107" s="30"/>
    </row>
    <row r="108" ht="14.25" customHeight="1">
      <c r="A108" s="30" t="s">
        <v>211</v>
      </c>
      <c r="B108" s="30" t="s">
        <v>212</v>
      </c>
      <c r="C108" s="30">
        <v>98.8482818603516</v>
      </c>
      <c r="D108" s="30">
        <v>98.8482818603516</v>
      </c>
      <c r="E108" s="30">
        <v>98.8482818603516</v>
      </c>
      <c r="F108" s="30">
        <v>98.8482818603516</v>
      </c>
      <c r="G108" s="30">
        <v>98.8482818603516</v>
      </c>
      <c r="H108" s="30">
        <v>98.8482818603516</v>
      </c>
      <c r="I108" s="30">
        <v>99.3490982055664</v>
      </c>
      <c r="J108" s="30">
        <v>99.3490982055664</v>
      </c>
      <c r="K108" s="30">
        <v>99.3490982055664</v>
      </c>
      <c r="L108" s="30">
        <v>99.3490982055664</v>
      </c>
    </row>
    <row r="109" ht="14.25" customHeight="1">
      <c r="A109" s="30" t="s">
        <v>213</v>
      </c>
      <c r="B109" s="30" t="s">
        <v>214</v>
      </c>
      <c r="C109" s="30"/>
      <c r="D109" s="30"/>
      <c r="E109" s="30"/>
      <c r="F109" s="30"/>
      <c r="G109" s="30"/>
      <c r="H109" s="30"/>
      <c r="I109" s="30"/>
      <c r="J109" s="30"/>
      <c r="K109" s="30"/>
      <c r="L109" s="30"/>
    </row>
    <row r="110" ht="14.25" customHeight="1">
      <c r="A110" s="30" t="s">
        <v>215</v>
      </c>
      <c r="B110" s="30" t="s">
        <v>216</v>
      </c>
      <c r="C110" s="30"/>
      <c r="D110" s="30"/>
      <c r="E110" s="30"/>
      <c r="F110" s="30"/>
      <c r="G110" s="30"/>
      <c r="H110" s="30"/>
      <c r="I110" s="30"/>
      <c r="J110" s="30"/>
      <c r="K110" s="30"/>
      <c r="L110" s="30"/>
    </row>
    <row r="111" ht="14.25" customHeight="1">
      <c r="A111" s="30" t="s">
        <v>217</v>
      </c>
      <c r="B111" s="30" t="s">
        <v>218</v>
      </c>
      <c r="C111" s="30">
        <v>97.8903198242188</v>
      </c>
      <c r="D111" s="30">
        <v>97.8903198242188</v>
      </c>
      <c r="E111" s="30">
        <v>97.8903198242188</v>
      </c>
      <c r="F111" s="30">
        <v>97.8903198242188</v>
      </c>
      <c r="G111" s="30">
        <v>97.8903198242188</v>
      </c>
      <c r="H111" s="30">
        <v>97.8903198242188</v>
      </c>
      <c r="I111" s="30">
        <v>97.8903198242188</v>
      </c>
      <c r="J111" s="30">
        <v>97.8903198242188</v>
      </c>
      <c r="K111" s="30">
        <v>98.4199981689453</v>
      </c>
      <c r="L111" s="30">
        <v>98.4199981689453</v>
      </c>
    </row>
    <row r="112" ht="14.25" customHeight="1">
      <c r="A112" s="30" t="s">
        <v>219</v>
      </c>
      <c r="B112" s="30" t="s">
        <v>220</v>
      </c>
      <c r="C112" s="30">
        <v>99.7816314697266</v>
      </c>
      <c r="D112" s="30">
        <v>99.7816314697266</v>
      </c>
      <c r="E112" s="30">
        <v>99.7816314697266</v>
      </c>
      <c r="F112" s="30">
        <v>99.7816314697266</v>
      </c>
      <c r="G112" s="30">
        <v>99.7816314697266</v>
      </c>
      <c r="H112" s="30">
        <v>99.7816314697266</v>
      </c>
      <c r="I112" s="30">
        <v>99.7816314697266</v>
      </c>
      <c r="J112" s="30">
        <v>99.8000030517578</v>
      </c>
      <c r="K112" s="30">
        <v>99.8000030517578</v>
      </c>
      <c r="L112" s="30">
        <v>99.8000030517578</v>
      </c>
    </row>
    <row r="113" ht="14.25" customHeight="1">
      <c r="A113" s="30" t="s">
        <v>221</v>
      </c>
      <c r="B113" s="30" t="s">
        <v>222</v>
      </c>
      <c r="C113" s="30">
        <v>72.1570281982422</v>
      </c>
      <c r="D113" s="30">
        <v>78.733039855957</v>
      </c>
      <c r="E113" s="30">
        <v>78.733039855957</v>
      </c>
      <c r="F113" s="30">
        <v>78.733039855957</v>
      </c>
      <c r="G113" s="30">
        <v>78.733039855957</v>
      </c>
      <c r="H113" s="30">
        <v>78.733039855957</v>
      </c>
      <c r="I113" s="30">
        <v>78.733039855957</v>
      </c>
      <c r="J113" s="30">
        <v>78.733039855957</v>
      </c>
      <c r="K113" s="30">
        <v>78.733039855957</v>
      </c>
      <c r="L113" s="30">
        <v>82.879997253418</v>
      </c>
    </row>
    <row r="114" ht="14.25" customHeight="1">
      <c r="A114" s="30" t="s">
        <v>223</v>
      </c>
      <c r="B114" s="30" t="s">
        <v>224</v>
      </c>
      <c r="C114" s="30"/>
      <c r="D114" s="30"/>
      <c r="E114" s="30"/>
      <c r="F114" s="30"/>
      <c r="G114" s="30"/>
      <c r="H114" s="30"/>
      <c r="I114" s="30"/>
      <c r="J114" s="30"/>
      <c r="K114" s="30"/>
      <c r="L114" s="30"/>
    </row>
    <row r="115" ht="14.25" customHeight="1">
      <c r="A115" s="30" t="s">
        <v>225</v>
      </c>
      <c r="B115" s="30" t="s">
        <v>226</v>
      </c>
      <c r="C115" s="30">
        <v>95.585823059082</v>
      </c>
      <c r="D115" s="30">
        <v>95.585823059082</v>
      </c>
      <c r="E115" s="30">
        <v>95.6854476928711</v>
      </c>
      <c r="F115" s="30">
        <v>95.6854476928711</v>
      </c>
      <c r="G115" s="30">
        <v>96.0359497070312</v>
      </c>
      <c r="H115" s="30">
        <v>96.0564727783203</v>
      </c>
      <c r="I115" s="30">
        <v>96.0564727783203</v>
      </c>
      <c r="J115" s="30">
        <v>96.4575424194336</v>
      </c>
      <c r="K115" s="30">
        <v>96.4575424194336</v>
      </c>
      <c r="L115" s="30">
        <v>96.4575424194336</v>
      </c>
    </row>
    <row r="116" ht="14.25" customHeight="1">
      <c r="A116" s="30" t="s">
        <v>227</v>
      </c>
      <c r="B116" s="30" t="s">
        <v>228</v>
      </c>
      <c r="C116" s="30">
        <v>99.2434310913086</v>
      </c>
      <c r="D116" s="30">
        <v>99.2434310913086</v>
      </c>
      <c r="E116" s="30">
        <v>99.2434310913086</v>
      </c>
      <c r="F116" s="30">
        <v>99.2434310913086</v>
      </c>
      <c r="G116" s="30">
        <v>99.2434310913086</v>
      </c>
      <c r="H116" s="30">
        <v>99.2434310913086</v>
      </c>
      <c r="I116" s="30">
        <v>99.5999984741211</v>
      </c>
      <c r="J116" s="30">
        <v>99.5999984741211</v>
      </c>
      <c r="K116" s="30">
        <v>99.5999984741211</v>
      </c>
      <c r="L116" s="30">
        <v>99.5999984741211</v>
      </c>
    </row>
    <row r="117" ht="14.25" customHeight="1">
      <c r="A117" s="30" t="s">
        <v>229</v>
      </c>
      <c r="B117" s="30" t="s">
        <v>230</v>
      </c>
      <c r="C117" s="30">
        <v>58.2879409790039</v>
      </c>
      <c r="D117" s="30">
        <v>58.2879409790039</v>
      </c>
      <c r="E117" s="30">
        <v>84.6610412597656</v>
      </c>
      <c r="F117" s="30">
        <v>84.6610412597656</v>
      </c>
      <c r="G117" s="30">
        <v>84.6610412597656</v>
      </c>
      <c r="H117" s="30">
        <v>84.6610412597656</v>
      </c>
      <c r="I117" s="30">
        <v>84.6610412597656</v>
      </c>
      <c r="J117" s="30">
        <v>84.6610412597656</v>
      </c>
      <c r="K117" s="30">
        <v>84.6610412597656</v>
      </c>
      <c r="L117" s="30">
        <v>87.5199966430664</v>
      </c>
    </row>
    <row r="118" ht="14.25" customHeight="1">
      <c r="A118" s="30" t="s">
        <v>231</v>
      </c>
      <c r="B118" s="30" t="s">
        <v>232</v>
      </c>
      <c r="C118" s="30">
        <v>99.8958969116211</v>
      </c>
      <c r="D118" s="30">
        <v>99.8958969116211</v>
      </c>
      <c r="E118" s="30">
        <v>99.8958969116211</v>
      </c>
      <c r="F118" s="30">
        <v>99.8958969116211</v>
      </c>
      <c r="G118" s="30">
        <v>99.8958969116211</v>
      </c>
      <c r="H118" s="30">
        <v>99.8958969116211</v>
      </c>
      <c r="I118" s="30">
        <v>99.8958969116211</v>
      </c>
      <c r="J118" s="30">
        <v>99.8958969116211</v>
      </c>
      <c r="K118" s="30">
        <v>99.8899993896484</v>
      </c>
      <c r="L118" s="30">
        <v>99.8899993896484</v>
      </c>
    </row>
    <row r="119" ht="14.25" customHeight="1">
      <c r="A119" s="30" t="s">
        <v>233</v>
      </c>
      <c r="B119" s="30" t="s">
        <v>234</v>
      </c>
      <c r="C119" s="30">
        <v>91.1841888427734</v>
      </c>
      <c r="D119" s="30">
        <v>91.1841888427734</v>
      </c>
      <c r="E119" s="30">
        <v>91.1841888427734</v>
      </c>
      <c r="F119" s="30">
        <v>91.1841888427734</v>
      </c>
      <c r="G119" s="30">
        <v>91.1841888427734</v>
      </c>
      <c r="H119" s="30">
        <v>87.2733306884766</v>
      </c>
      <c r="I119" s="30">
        <v>87.2733306884766</v>
      </c>
      <c r="J119" s="30">
        <v>87.2733306884766</v>
      </c>
      <c r="K119" s="30">
        <v>87.2733306884766</v>
      </c>
      <c r="L119" s="30">
        <v>87.2733306884766</v>
      </c>
    </row>
    <row r="120" ht="14.25" customHeight="1">
      <c r="A120" s="30" t="s">
        <v>235</v>
      </c>
      <c r="B120" s="30" t="s">
        <v>236</v>
      </c>
      <c r="C120" s="30">
        <v>75.8002014160156</v>
      </c>
      <c r="D120" s="30">
        <v>76.6352005004883</v>
      </c>
      <c r="E120" s="30">
        <v>76.6352005004883</v>
      </c>
      <c r="F120" s="30">
        <v>76.6352005004883</v>
      </c>
      <c r="G120" s="30">
        <v>76.6352005004883</v>
      </c>
      <c r="H120" s="30">
        <v>76.6352005004883</v>
      </c>
      <c r="I120" s="30">
        <v>76.6352005004883</v>
      </c>
      <c r="J120" s="30">
        <v>76.6352005004883</v>
      </c>
      <c r="K120" s="30">
        <v>76.6352005004883</v>
      </c>
      <c r="L120" s="30">
        <v>82.0100021362305</v>
      </c>
    </row>
    <row r="121" ht="14.25" customHeight="1">
      <c r="A121" s="30" t="s">
        <v>237</v>
      </c>
      <c r="B121" s="30" t="s">
        <v>238</v>
      </c>
      <c r="C121" s="30">
        <v>42.9410781860352</v>
      </c>
      <c r="D121" s="30">
        <v>42.9410781860352</v>
      </c>
      <c r="E121" s="30">
        <v>42.9410781860352</v>
      </c>
      <c r="F121" s="30">
        <v>42.9410781860352</v>
      </c>
      <c r="G121" s="30">
        <v>48.3013610839844</v>
      </c>
      <c r="H121" s="30">
        <v>48.3013610839844</v>
      </c>
      <c r="I121" s="30">
        <v>48.3013610839844</v>
      </c>
      <c r="J121" s="30">
        <v>48.3013610839844</v>
      </c>
      <c r="K121" s="30">
        <v>48.3013610839844</v>
      </c>
      <c r="L121" s="30">
        <v>48.3013610839844</v>
      </c>
    </row>
    <row r="122" ht="14.25" customHeight="1">
      <c r="A122" s="30" t="s">
        <v>239</v>
      </c>
      <c r="B122" s="30" t="s">
        <v>240</v>
      </c>
      <c r="C122" s="30"/>
      <c r="D122" s="30"/>
      <c r="E122" s="30"/>
      <c r="F122" s="30"/>
      <c r="G122" s="30"/>
      <c r="H122" s="30"/>
      <c r="I122" s="30"/>
      <c r="J122" s="30"/>
      <c r="K122" s="30"/>
      <c r="L122" s="30"/>
    </row>
    <row r="123" ht="14.25" customHeight="1">
      <c r="A123" s="30" t="s">
        <v>241</v>
      </c>
      <c r="B123" s="30" t="s">
        <v>242</v>
      </c>
      <c r="C123" s="30"/>
      <c r="D123" s="30"/>
      <c r="E123" s="30"/>
      <c r="F123" s="30"/>
      <c r="G123" s="30"/>
      <c r="H123" s="30"/>
      <c r="I123" s="30"/>
      <c r="J123" s="30"/>
      <c r="K123" s="30"/>
      <c r="L123" s="30"/>
    </row>
    <row r="124" ht="14.25" customHeight="1">
      <c r="A124" s="30" t="s">
        <v>243</v>
      </c>
      <c r="B124" s="30" t="s">
        <v>244</v>
      </c>
      <c r="C124" s="30">
        <v>99.8155975341797</v>
      </c>
      <c r="D124" s="30">
        <v>99.8155975341797</v>
      </c>
      <c r="E124" s="30">
        <v>99.8155975341797</v>
      </c>
      <c r="F124" s="30">
        <v>99.8155975341797</v>
      </c>
      <c r="G124" s="30">
        <v>99.8155975341797</v>
      </c>
      <c r="H124" s="30">
        <v>99.8155975341797</v>
      </c>
      <c r="I124" s="30">
        <v>99.8155975341797</v>
      </c>
      <c r="J124" s="30">
        <v>99.8155975341797</v>
      </c>
      <c r="K124" s="30">
        <v>99.8300018310547</v>
      </c>
      <c r="L124" s="30">
        <v>99.8300018310547</v>
      </c>
    </row>
    <row r="125" ht="14.25" customHeight="1">
      <c r="A125" s="30" t="s">
        <v>245</v>
      </c>
      <c r="B125" s="30" t="s">
        <v>246</v>
      </c>
      <c r="C125" s="30"/>
      <c r="D125" s="30"/>
      <c r="E125" s="30"/>
      <c r="F125" s="30"/>
      <c r="G125" s="30"/>
      <c r="H125" s="30"/>
      <c r="I125" s="30"/>
      <c r="J125" s="30"/>
      <c r="K125" s="30"/>
      <c r="L125" s="30"/>
    </row>
    <row r="126" ht="14.25" customHeight="1">
      <c r="A126" s="30" t="s">
        <v>247</v>
      </c>
      <c r="B126" s="30" t="s">
        <v>248</v>
      </c>
      <c r="C126" s="30">
        <v>71.5726165771484</v>
      </c>
      <c r="D126" s="30">
        <v>71.5726165771484</v>
      </c>
      <c r="E126" s="30">
        <v>71.5726165771484</v>
      </c>
      <c r="F126" s="30">
        <v>71.5726165771484</v>
      </c>
      <c r="G126" s="30">
        <v>71.5726165771484</v>
      </c>
      <c r="H126" s="30">
        <v>76.6796798706055</v>
      </c>
      <c r="I126" s="30">
        <v>76.6796798706055</v>
      </c>
      <c r="J126" s="30">
        <v>76.6796798706055</v>
      </c>
      <c r="K126" s="30">
        <v>76.6796798706055</v>
      </c>
      <c r="L126" s="30">
        <v>77.4800033569336</v>
      </c>
    </row>
    <row r="127" ht="14.25" customHeight="1">
      <c r="A127" s="30" t="s">
        <v>249</v>
      </c>
      <c r="B127" s="30" t="s">
        <v>250</v>
      </c>
      <c r="C127" s="30">
        <v>61.3097190856934</v>
      </c>
      <c r="D127" s="30">
        <v>65.1453704833984</v>
      </c>
      <c r="E127" s="30">
        <v>62.1435394287109</v>
      </c>
      <c r="F127" s="30">
        <v>62.1435394287109</v>
      </c>
      <c r="G127" s="30">
        <v>62.1435394287109</v>
      </c>
      <c r="H127" s="30">
        <v>62.1435394287109</v>
      </c>
      <c r="I127" s="30">
        <v>62.1435394287109</v>
      </c>
      <c r="J127" s="30">
        <v>62.1435394287109</v>
      </c>
      <c r="K127" s="30">
        <v>62.1435394287109</v>
      </c>
      <c r="L127" s="30">
        <v>68.0800018310547</v>
      </c>
    </row>
    <row r="128" ht="14.25" customHeight="1">
      <c r="A128" s="30" t="s">
        <v>251</v>
      </c>
      <c r="B128" s="30" t="s">
        <v>252</v>
      </c>
      <c r="C128" s="30"/>
      <c r="D128" s="30"/>
      <c r="E128" s="30"/>
      <c r="F128" s="30"/>
      <c r="G128" s="30"/>
      <c r="H128" s="30"/>
      <c r="I128" s="30"/>
      <c r="J128" s="30"/>
      <c r="K128" s="30"/>
      <c r="L128" s="30"/>
    </row>
    <row r="129" ht="14.25" customHeight="1">
      <c r="A129" s="30" t="s">
        <v>253</v>
      </c>
      <c r="B129" s="30" t="s">
        <v>254</v>
      </c>
      <c r="C129" s="30">
        <v>98.3979034423828</v>
      </c>
      <c r="D129" s="30">
        <v>98.6101226806641</v>
      </c>
      <c r="E129" s="30">
        <v>98.6101226806641</v>
      </c>
      <c r="F129" s="30">
        <v>97.7349472045898</v>
      </c>
      <c r="G129" s="30">
        <v>97.7349472045898</v>
      </c>
      <c r="H129" s="30">
        <v>97.7349472045898</v>
      </c>
      <c r="I129" s="30">
        <v>97.7349472045898</v>
      </c>
      <c r="J129" s="30">
        <v>97.7349472045898</v>
      </c>
      <c r="K129" s="30">
        <v>97.8600006103516</v>
      </c>
      <c r="L129" s="30">
        <v>97.8600006103516</v>
      </c>
    </row>
    <row r="130" ht="14.25" customHeight="1">
      <c r="A130" s="30" t="s">
        <v>255</v>
      </c>
      <c r="B130" s="30" t="s">
        <v>256</v>
      </c>
      <c r="C130" s="30">
        <v>30.6186695098877</v>
      </c>
      <c r="D130" s="30">
        <v>30.6186695098877</v>
      </c>
      <c r="E130" s="30">
        <v>33.0688896179199</v>
      </c>
      <c r="F130" s="30">
        <v>33.0688896179199</v>
      </c>
      <c r="G130" s="30">
        <v>33.0688896179199</v>
      </c>
      <c r="H130" s="30">
        <v>35.4737701416016</v>
      </c>
      <c r="I130" s="30">
        <v>35.4737701416016</v>
      </c>
      <c r="J130" s="30">
        <v>30.7614097595215</v>
      </c>
      <c r="K130" s="30">
        <v>30.7614097595215</v>
      </c>
      <c r="L130" s="30">
        <v>30.7614097595215</v>
      </c>
    </row>
    <row r="131" ht="14.25" customHeight="1">
      <c r="A131" s="30" t="s">
        <v>257</v>
      </c>
      <c r="B131" s="30" t="s">
        <v>258</v>
      </c>
      <c r="C131" s="30">
        <v>93.3073577880859</v>
      </c>
      <c r="D131" s="30">
        <v>93.3073577880859</v>
      </c>
      <c r="E131" s="30">
        <v>93.3073577880859</v>
      </c>
      <c r="F131" s="30">
        <v>93.3073577880859</v>
      </c>
      <c r="G131" s="30">
        <v>93.3073577880859</v>
      </c>
      <c r="H131" s="30">
        <v>93.3073577880859</v>
      </c>
      <c r="I131" s="30">
        <v>93.3073577880859</v>
      </c>
      <c r="J131" s="30">
        <v>93.3073577880859</v>
      </c>
      <c r="K131" s="30">
        <v>94.9400024414062</v>
      </c>
      <c r="L131" s="30">
        <v>94.9400024414062</v>
      </c>
    </row>
    <row r="132" ht="14.25" customHeight="1">
      <c r="A132" s="30" t="s">
        <v>259</v>
      </c>
      <c r="B132" s="30" t="s">
        <v>260</v>
      </c>
      <c r="C132" s="30">
        <v>98.2650833129883</v>
      </c>
      <c r="D132" s="30">
        <v>98.2650833129883</v>
      </c>
      <c r="E132" s="30">
        <v>98.2650833129883</v>
      </c>
      <c r="F132" s="30">
        <v>98.2650833129883</v>
      </c>
      <c r="G132" s="30">
        <v>98.2650833129883</v>
      </c>
      <c r="H132" s="30">
        <v>98.2650833129883</v>
      </c>
      <c r="I132" s="30">
        <v>98.2650833129883</v>
      </c>
      <c r="J132" s="30">
        <v>98.2650833129883</v>
      </c>
      <c r="K132" s="30">
        <v>98.2650833129883</v>
      </c>
      <c r="L132" s="30"/>
    </row>
    <row r="133" ht="14.25" customHeight="1">
      <c r="A133" s="30" t="s">
        <v>261</v>
      </c>
      <c r="B133" s="30" t="s">
        <v>262</v>
      </c>
      <c r="C133" s="30"/>
      <c r="D133" s="30"/>
      <c r="E133" s="30"/>
      <c r="F133" s="30"/>
      <c r="G133" s="30"/>
      <c r="H133" s="30"/>
      <c r="I133" s="30"/>
      <c r="J133" s="30"/>
      <c r="K133" s="30"/>
      <c r="L133" s="30"/>
    </row>
    <row r="134" ht="14.25" customHeight="1">
      <c r="A134" s="30" t="s">
        <v>263</v>
      </c>
      <c r="B134" s="30" t="s">
        <v>264</v>
      </c>
      <c r="C134" s="30">
        <v>62.0687484741211</v>
      </c>
      <c r="D134" s="30">
        <v>62.0687484741211</v>
      </c>
      <c r="E134" s="30">
        <v>62.0687484741211</v>
      </c>
      <c r="F134" s="30">
        <v>62.0687484741211</v>
      </c>
      <c r="G134" s="30">
        <v>62.0687484741211</v>
      </c>
      <c r="H134" s="30">
        <v>62.0687484741211</v>
      </c>
      <c r="I134" s="30">
        <v>62.0687484741211</v>
      </c>
      <c r="J134" s="30">
        <v>62.0687484741211</v>
      </c>
      <c r="K134" s="30">
        <v>66.9599990844727</v>
      </c>
      <c r="L134" s="30">
        <v>66.9599990844727</v>
      </c>
    </row>
    <row r="135" ht="14.25" customHeight="1">
      <c r="A135" s="30" t="s">
        <v>265</v>
      </c>
      <c r="B135" s="30" t="s">
        <v>266</v>
      </c>
      <c r="C135" s="30">
        <v>91.4900283813477</v>
      </c>
      <c r="D135" s="30">
        <v>92.4747619628906</v>
      </c>
      <c r="E135" s="30">
        <v>92.7076034545898</v>
      </c>
      <c r="F135" s="30">
        <v>93.1578369140625</v>
      </c>
      <c r="G135" s="30">
        <v>93.1578369140625</v>
      </c>
      <c r="H135" s="30">
        <v>93.1578369140625</v>
      </c>
      <c r="I135" s="30">
        <v>93.1578369140625</v>
      </c>
      <c r="J135" s="30">
        <v>93.1578369140625</v>
      </c>
      <c r="K135" s="30">
        <v>92.1500015258789</v>
      </c>
      <c r="L135" s="30">
        <v>92.1500015258789</v>
      </c>
    </row>
    <row r="136" ht="14.25" customHeight="1">
      <c r="A136" s="30" t="s">
        <v>267</v>
      </c>
      <c r="B136" s="30" t="s">
        <v>268</v>
      </c>
      <c r="C136" s="30"/>
      <c r="D136" s="30"/>
      <c r="E136" s="30"/>
      <c r="F136" s="30"/>
      <c r="G136" s="30"/>
      <c r="H136" s="30"/>
      <c r="I136" s="30"/>
      <c r="J136" s="30"/>
      <c r="K136" s="30"/>
      <c r="L136" s="30"/>
    </row>
    <row r="137" ht="14.25" customHeight="1">
      <c r="A137" s="30" t="s">
        <v>269</v>
      </c>
      <c r="B137" s="30" t="s">
        <v>270</v>
      </c>
      <c r="C137" s="30">
        <v>93.9628524780273</v>
      </c>
      <c r="D137" s="30">
        <v>94.5558776855469</v>
      </c>
      <c r="E137" s="30">
        <v>94.472282409668</v>
      </c>
      <c r="F137" s="30">
        <v>94.859619140625</v>
      </c>
      <c r="G137" s="30">
        <v>94.9727783203125</v>
      </c>
      <c r="H137" s="30">
        <v>95.3799133300781</v>
      </c>
      <c r="I137" s="30">
        <v>95.3799133300781</v>
      </c>
      <c r="J137" s="30">
        <v>95.2478485107422</v>
      </c>
      <c r="K137" s="30">
        <v>95.2478485107422</v>
      </c>
      <c r="L137" s="30">
        <v>95.2478485107422</v>
      </c>
    </row>
    <row r="138" ht="14.25" customHeight="1">
      <c r="A138" s="30" t="s">
        <v>271</v>
      </c>
      <c r="B138" s="30" t="s">
        <v>272</v>
      </c>
      <c r="C138" s="30"/>
      <c r="D138" s="30"/>
      <c r="E138" s="30"/>
      <c r="F138" s="30"/>
      <c r="G138" s="30"/>
      <c r="H138" s="30"/>
      <c r="I138" s="30"/>
      <c r="J138" s="30"/>
      <c r="K138" s="30"/>
      <c r="L138" s="30"/>
    </row>
    <row r="139" ht="14.25" customHeight="1">
      <c r="A139" s="30" t="s">
        <v>273</v>
      </c>
      <c r="B139" s="30" t="s">
        <v>274</v>
      </c>
      <c r="C139" s="30"/>
      <c r="D139" s="30"/>
      <c r="E139" s="30"/>
      <c r="F139" s="30"/>
      <c r="G139" s="30"/>
      <c r="H139" s="30"/>
      <c r="I139" s="30"/>
      <c r="J139" s="30"/>
      <c r="K139" s="30"/>
      <c r="L139" s="30"/>
    </row>
    <row r="140" ht="14.25" customHeight="1">
      <c r="A140" s="30" t="s">
        <v>275</v>
      </c>
      <c r="B140" s="30" t="s">
        <v>276</v>
      </c>
      <c r="C140" s="30">
        <v>98.2570037841797</v>
      </c>
      <c r="D140" s="30">
        <v>98.2570037841797</v>
      </c>
      <c r="E140" s="30">
        <v>98.2570037841797</v>
      </c>
      <c r="F140" s="30">
        <v>98.2570037841797</v>
      </c>
      <c r="G140" s="30">
        <v>98.2570037841797</v>
      </c>
      <c r="H140" s="30">
        <v>98.2570037841797</v>
      </c>
      <c r="I140" s="30">
        <v>98.2570037841797</v>
      </c>
      <c r="J140" s="30">
        <v>99.1832733154297</v>
      </c>
      <c r="K140" s="30">
        <v>99.1832733154297</v>
      </c>
      <c r="L140" s="30">
        <v>99.1832733154297</v>
      </c>
    </row>
    <row r="141" ht="14.25" customHeight="1">
      <c r="A141" s="30" t="s">
        <v>277</v>
      </c>
      <c r="B141" s="30" t="s">
        <v>278</v>
      </c>
      <c r="C141" s="30">
        <v>98.4422073364258</v>
      </c>
      <c r="D141" s="30">
        <v>98.4422073364258</v>
      </c>
      <c r="E141" s="30">
        <v>98.4422073364258</v>
      </c>
      <c r="F141" s="30">
        <v>98.4422073364258</v>
      </c>
      <c r="G141" s="30">
        <v>98.4422073364258</v>
      </c>
      <c r="H141" s="30">
        <v>98.4422073364258</v>
      </c>
      <c r="I141" s="30">
        <v>98.4422073364258</v>
      </c>
      <c r="J141" s="30">
        <v>98.4422073364258</v>
      </c>
      <c r="K141" s="30">
        <v>98.9800033569336</v>
      </c>
      <c r="L141" s="30">
        <v>98.9800033569336</v>
      </c>
    </row>
    <row r="142" ht="14.25" customHeight="1">
      <c r="A142" s="30" t="s">
        <v>279</v>
      </c>
      <c r="B142" s="30" t="s">
        <v>280</v>
      </c>
      <c r="C142" s="30"/>
      <c r="D142" s="30"/>
      <c r="E142" s="30"/>
      <c r="F142" s="30"/>
      <c r="G142" s="30"/>
      <c r="H142" s="30"/>
      <c r="I142" s="30"/>
      <c r="J142" s="30"/>
      <c r="K142" s="30"/>
      <c r="L142" s="30"/>
    </row>
    <row r="143" ht="14.25" customHeight="1">
      <c r="A143" s="30" t="s">
        <v>281</v>
      </c>
      <c r="B143" s="30" t="s">
        <v>282</v>
      </c>
      <c r="C143" s="30">
        <v>69.4253921508789</v>
      </c>
      <c r="D143" s="30">
        <v>75.5861968994141</v>
      </c>
      <c r="E143" s="30">
        <v>75.5861968994141</v>
      </c>
      <c r="F143" s="30">
        <v>75.5861968994141</v>
      </c>
      <c r="G143" s="30">
        <v>75.5861968994141</v>
      </c>
      <c r="H143" s="30">
        <v>75.5861968994141</v>
      </c>
      <c r="I143" s="30">
        <v>75.5861968994141</v>
      </c>
      <c r="J143" s="30">
        <v>75.5861968994141</v>
      </c>
      <c r="K143" s="30">
        <v>75.5861968994141</v>
      </c>
      <c r="L143" s="30">
        <v>77.3499984741211</v>
      </c>
    </row>
    <row r="144" ht="14.25" customHeight="1">
      <c r="A144" s="30" t="s">
        <v>283</v>
      </c>
      <c r="B144" s="30" t="s">
        <v>284</v>
      </c>
      <c r="C144" s="30">
        <v>50.5838088989258</v>
      </c>
      <c r="D144" s="30">
        <v>50.5838088989258</v>
      </c>
      <c r="E144" s="30">
        <v>56.0390014648438</v>
      </c>
      <c r="F144" s="30">
        <v>56.0390014648438</v>
      </c>
      <c r="G144" s="30">
        <v>60.6554298400879</v>
      </c>
      <c r="H144" s="30">
        <v>60.6554298400879</v>
      </c>
      <c r="I144" s="30">
        <v>60.6554298400879</v>
      </c>
      <c r="J144" s="30">
        <v>59.7796096801758</v>
      </c>
      <c r="K144" s="30">
        <v>59.7796096801758</v>
      </c>
      <c r="L144" s="30">
        <v>59.7796096801758</v>
      </c>
    </row>
    <row r="145" ht="14.25" customHeight="1">
      <c r="A145" s="30" t="s">
        <v>285</v>
      </c>
      <c r="B145" s="30" t="s">
        <v>286</v>
      </c>
      <c r="C145" s="30"/>
      <c r="D145" s="30"/>
      <c r="E145" s="30"/>
      <c r="F145" s="30">
        <v>75.5512008666992</v>
      </c>
      <c r="G145" s="30">
        <v>75.5512008666992</v>
      </c>
      <c r="H145" s="30">
        <v>75.5512008666992</v>
      </c>
      <c r="I145" s="30">
        <v>89.0699462890625</v>
      </c>
      <c r="J145" s="30">
        <v>89.0699462890625</v>
      </c>
      <c r="K145" s="30">
        <v>89.0699462890625</v>
      </c>
      <c r="L145" s="30">
        <v>89.0699462890625</v>
      </c>
    </row>
    <row r="146" ht="14.25" customHeight="1">
      <c r="A146" s="30" t="s">
        <v>287</v>
      </c>
      <c r="B146" s="30" t="s">
        <v>288</v>
      </c>
      <c r="C146" s="30">
        <v>88.2746276855469</v>
      </c>
      <c r="D146" s="30">
        <v>88.2746276855469</v>
      </c>
      <c r="E146" s="30">
        <v>88.2746276855469</v>
      </c>
      <c r="F146" s="30">
        <v>88.2746276855469</v>
      </c>
      <c r="G146" s="30">
        <v>88.2746276855469</v>
      </c>
      <c r="H146" s="30">
        <v>88.2746276855469</v>
      </c>
      <c r="I146" s="30">
        <v>88.2746276855469</v>
      </c>
      <c r="J146" s="30">
        <v>88.2746276855469</v>
      </c>
      <c r="K146" s="30">
        <v>92.25</v>
      </c>
      <c r="L146" s="30">
        <v>92.25</v>
      </c>
    </row>
    <row r="147" ht="14.25" customHeight="1">
      <c r="A147" s="30" t="s">
        <v>289</v>
      </c>
      <c r="B147" s="30" t="s">
        <v>290</v>
      </c>
      <c r="C147" s="30"/>
      <c r="D147" s="30"/>
      <c r="E147" s="30"/>
      <c r="F147" s="30"/>
      <c r="G147" s="30"/>
      <c r="H147" s="30"/>
      <c r="I147" s="30"/>
      <c r="J147" s="30"/>
      <c r="K147" s="30"/>
      <c r="L147" s="30"/>
    </row>
    <row r="148" ht="14.25" customHeight="1">
      <c r="A148" s="30" t="s">
        <v>291</v>
      </c>
      <c r="B148" s="30" t="s">
        <v>292</v>
      </c>
      <c r="C148" s="30">
        <v>59.6272506713867</v>
      </c>
      <c r="D148" s="30">
        <v>59.6272506713867</v>
      </c>
      <c r="E148" s="30">
        <v>59.6272506713867</v>
      </c>
      <c r="F148" s="30">
        <v>59.6272506713867</v>
      </c>
      <c r="G148" s="30">
        <v>59.6272506713867</v>
      </c>
      <c r="H148" s="30">
        <v>59.6272506713867</v>
      </c>
      <c r="I148" s="30">
        <v>59.6272506713867</v>
      </c>
      <c r="J148" s="30">
        <v>59.6272506713867</v>
      </c>
      <c r="K148" s="30">
        <v>71.1500015258789</v>
      </c>
      <c r="L148" s="30">
        <v>71.1500015258789</v>
      </c>
    </row>
    <row r="149" ht="14.25" customHeight="1">
      <c r="A149" s="30" t="s">
        <v>293</v>
      </c>
      <c r="B149" s="30" t="s">
        <v>294</v>
      </c>
      <c r="C149" s="30"/>
      <c r="D149" s="30"/>
      <c r="E149" s="30"/>
      <c r="F149" s="30"/>
      <c r="G149" s="30"/>
      <c r="H149" s="30"/>
      <c r="I149" s="30"/>
      <c r="J149" s="30"/>
      <c r="K149" s="30"/>
      <c r="L149" s="30"/>
    </row>
    <row r="150" ht="14.25" customHeight="1">
      <c r="A150" s="30" t="s">
        <v>295</v>
      </c>
      <c r="B150" s="30" t="s">
        <v>296</v>
      </c>
      <c r="C150" s="30">
        <v>97.3000030517578</v>
      </c>
      <c r="D150" s="30">
        <v>97.3000030517578</v>
      </c>
      <c r="E150" s="30">
        <v>97.3000030517578</v>
      </c>
      <c r="F150" s="30">
        <v>97.3000030517578</v>
      </c>
      <c r="G150" s="30"/>
      <c r="H150" s="30"/>
      <c r="I150" s="30"/>
      <c r="J150" s="30"/>
      <c r="K150" s="30"/>
      <c r="L150" s="30"/>
    </row>
    <row r="151" ht="14.25" customHeight="1">
      <c r="A151" s="30" t="s">
        <v>297</v>
      </c>
      <c r="B151" s="30" t="s">
        <v>298</v>
      </c>
      <c r="C151" s="30"/>
      <c r="D151" s="30"/>
      <c r="E151" s="30"/>
      <c r="F151" s="30"/>
      <c r="G151" s="30"/>
      <c r="H151" s="30"/>
      <c r="I151" s="30"/>
      <c r="J151" s="30"/>
      <c r="K151" s="30"/>
      <c r="L151" s="30"/>
    </row>
    <row r="152" ht="14.25" customHeight="1">
      <c r="A152" s="30" t="s">
        <v>299</v>
      </c>
      <c r="B152" s="30" t="s">
        <v>300</v>
      </c>
      <c r="C152" s="30">
        <v>78.0029830932617</v>
      </c>
      <c r="D152" s="30">
        <v>78.0029830932617</v>
      </c>
      <c r="E152" s="30">
        <v>82.6145477294922</v>
      </c>
      <c r="F152" s="30">
        <v>82.6145477294922</v>
      </c>
      <c r="G152" s="30">
        <v>82.6145477294922</v>
      </c>
      <c r="H152" s="30">
        <v>82.6145477294922</v>
      </c>
      <c r="I152" s="30">
        <v>82.6145477294922</v>
      </c>
      <c r="J152" s="30">
        <v>82.6145477294922</v>
      </c>
      <c r="K152" s="30">
        <v>82.6145477294922</v>
      </c>
      <c r="L152" s="30">
        <v>82.6145477294922</v>
      </c>
    </row>
    <row r="153" ht="14.25" customHeight="1">
      <c r="A153" s="30" t="s">
        <v>301</v>
      </c>
      <c r="B153" s="30" t="s">
        <v>302</v>
      </c>
      <c r="C153" s="30">
        <v>30.5603904724121</v>
      </c>
      <c r="D153" s="30">
        <v>30.5603904724121</v>
      </c>
      <c r="E153" s="30">
        <v>30.5603904724121</v>
      </c>
      <c r="F153" s="30">
        <v>30.5603904724121</v>
      </c>
      <c r="G153" s="30">
        <v>30.5603904724121</v>
      </c>
      <c r="H153" s="30">
        <v>30.5603904724121</v>
      </c>
      <c r="I153" s="30">
        <v>30.5603904724121</v>
      </c>
      <c r="J153" s="30">
        <v>30.5603904724121</v>
      </c>
      <c r="K153" s="30">
        <v>30.5603904724121</v>
      </c>
      <c r="L153" s="30">
        <v>38.0999984741211</v>
      </c>
    </row>
    <row r="154" ht="14.25" customHeight="1">
      <c r="A154" s="30" t="s">
        <v>303</v>
      </c>
      <c r="B154" s="30" t="s">
        <v>304</v>
      </c>
      <c r="C154" s="30">
        <v>51.0776596069336</v>
      </c>
      <c r="D154" s="30">
        <v>51.0776596069336</v>
      </c>
      <c r="E154" s="30">
        <v>51.0776596069336</v>
      </c>
      <c r="F154" s="30">
        <v>51.0776596069336</v>
      </c>
      <c r="G154" s="30">
        <v>51.0776596069336</v>
      </c>
      <c r="H154" s="30">
        <v>62.0160102844238</v>
      </c>
      <c r="I154" s="30">
        <v>62.0160102844238</v>
      </c>
      <c r="J154" s="30">
        <v>62.0160102844238</v>
      </c>
      <c r="K154" s="30">
        <v>62.0160102844238</v>
      </c>
      <c r="L154" s="30">
        <v>62.0160102844238</v>
      </c>
    </row>
    <row r="155" ht="14.25" customHeight="1">
      <c r="A155" s="30" t="s">
        <v>305</v>
      </c>
      <c r="B155" s="30" t="s">
        <v>306</v>
      </c>
      <c r="C155" s="30"/>
      <c r="D155" s="30"/>
      <c r="E155" s="30"/>
      <c r="F155" s="30"/>
      <c r="G155" s="30"/>
      <c r="H155" s="30"/>
      <c r="I155" s="30"/>
      <c r="J155" s="30"/>
      <c r="K155" s="30"/>
      <c r="L155" s="30"/>
    </row>
    <row r="156" ht="14.25" customHeight="1">
      <c r="A156" s="30" t="s">
        <v>307</v>
      </c>
      <c r="B156" s="30" t="s">
        <v>308</v>
      </c>
      <c r="C156" s="30">
        <v>97.5999984741211</v>
      </c>
      <c r="D156" s="30">
        <v>97.5999984741211</v>
      </c>
      <c r="E156" s="30">
        <v>97.5999984741211</v>
      </c>
      <c r="F156" s="30">
        <v>97.5999984741211</v>
      </c>
      <c r="G156" s="30">
        <v>97.5999984741211</v>
      </c>
      <c r="H156" s="30">
        <v>97.5999984741211</v>
      </c>
      <c r="I156" s="30">
        <v>97.5999984741211</v>
      </c>
      <c r="J156" s="30">
        <v>97.5999984741211</v>
      </c>
      <c r="K156" s="30">
        <v>97.5999984741211</v>
      </c>
      <c r="L156" s="30">
        <v>97.5999984741211</v>
      </c>
    </row>
    <row r="157" ht="14.25" customHeight="1">
      <c r="A157" s="30" t="s">
        <v>309</v>
      </c>
      <c r="B157" s="30" t="s">
        <v>310</v>
      </c>
      <c r="C157" s="30"/>
      <c r="D157" s="30"/>
      <c r="E157" s="30"/>
      <c r="F157" s="30"/>
      <c r="G157" s="30"/>
      <c r="H157" s="30"/>
      <c r="I157" s="30"/>
      <c r="J157" s="30"/>
      <c r="K157" s="30"/>
      <c r="L157" s="30"/>
    </row>
    <row r="158" ht="14.25" customHeight="1">
      <c r="A158" s="30" t="s">
        <v>311</v>
      </c>
      <c r="B158" s="30" t="s">
        <v>312</v>
      </c>
      <c r="C158" s="30"/>
      <c r="D158" s="30"/>
      <c r="E158" s="30"/>
      <c r="F158" s="30"/>
      <c r="G158" s="30"/>
      <c r="H158" s="30"/>
      <c r="I158" s="30"/>
      <c r="J158" s="30"/>
      <c r="K158" s="30"/>
      <c r="L158" s="30"/>
    </row>
    <row r="159" ht="14.25" customHeight="1">
      <c r="A159" s="30" t="s">
        <v>313</v>
      </c>
      <c r="B159" s="30" t="s">
        <v>314</v>
      </c>
      <c r="C159" s="30">
        <v>86.9390029907227</v>
      </c>
      <c r="D159" s="30">
        <v>86.9390029907227</v>
      </c>
      <c r="E159" s="30">
        <v>93.0386123657227</v>
      </c>
      <c r="F159" s="30">
        <v>93.0386123657227</v>
      </c>
      <c r="G159" s="30">
        <v>95.5759963989258</v>
      </c>
      <c r="H159" s="30">
        <v>95.6515274047852</v>
      </c>
      <c r="I159" s="30">
        <v>95.6515274047852</v>
      </c>
      <c r="J159" s="30">
        <v>95.6515274047852</v>
      </c>
      <c r="K159" s="30">
        <v>95.6515274047852</v>
      </c>
      <c r="L159" s="30">
        <v>97.3390579223633</v>
      </c>
    </row>
    <row r="160" ht="14.25" customHeight="1">
      <c r="A160" s="30" t="s">
        <v>315</v>
      </c>
      <c r="B160" s="30" t="s">
        <v>316</v>
      </c>
      <c r="C160" s="30">
        <v>55.5949897766113</v>
      </c>
      <c r="D160" s="30">
        <v>56.9771499633789</v>
      </c>
      <c r="E160" s="30">
        <v>56.9771499633789</v>
      </c>
      <c r="F160" s="30">
        <v>56.9771499633789</v>
      </c>
      <c r="G160" s="30">
        <v>59.1320495605469</v>
      </c>
      <c r="H160" s="30">
        <v>57.010570526123</v>
      </c>
      <c r="I160" s="30">
        <v>57.9988594055176</v>
      </c>
      <c r="J160" s="30">
        <v>57.9988594055176</v>
      </c>
      <c r="K160" s="30">
        <v>57.9988594055176</v>
      </c>
      <c r="L160" s="30">
        <v>57.9988594055176</v>
      </c>
    </row>
    <row r="161" ht="14.25" customHeight="1">
      <c r="A161" s="30" t="s">
        <v>317</v>
      </c>
      <c r="B161" s="30" t="s">
        <v>318</v>
      </c>
      <c r="C161" s="30">
        <v>99.5031280517578</v>
      </c>
      <c r="D161" s="30">
        <v>99.5031280517578</v>
      </c>
      <c r="E161" s="30">
        <v>96.5937423706055</v>
      </c>
      <c r="F161" s="30">
        <v>96.5937423706055</v>
      </c>
      <c r="G161" s="30">
        <v>96.5937423706055</v>
      </c>
      <c r="H161" s="30">
        <v>96.5937423706055</v>
      </c>
      <c r="I161" s="30">
        <v>96.5937423706055</v>
      </c>
      <c r="J161" s="30">
        <v>96.5937423706055</v>
      </c>
      <c r="K161" s="30">
        <v>96.5937423706055</v>
      </c>
      <c r="L161" s="30">
        <v>96.5937423706055</v>
      </c>
    </row>
    <row r="162" ht="14.25" customHeight="1">
      <c r="A162" s="30" t="s">
        <v>474</v>
      </c>
      <c r="B162" s="30" t="s">
        <v>400</v>
      </c>
      <c r="C162" s="30">
        <v>96.046028137207</v>
      </c>
      <c r="D162" s="30">
        <v>96.2129287719727</v>
      </c>
      <c r="E162" s="30">
        <v>96.4771194458008</v>
      </c>
      <c r="F162" s="30">
        <v>96.7191925048828</v>
      </c>
      <c r="G162" s="30">
        <v>96.9244003295898</v>
      </c>
      <c r="H162" s="30">
        <v>97.2186126708984</v>
      </c>
      <c r="I162" s="30">
        <v>97.3782577514648</v>
      </c>
      <c r="J162" s="30">
        <v>97.5144577026367</v>
      </c>
      <c r="K162" s="30">
        <v>97.5144577026367</v>
      </c>
      <c r="L162" s="30">
        <v>97.8438415527344</v>
      </c>
    </row>
    <row r="163" ht="14.25" customHeight="1">
      <c r="A163" s="30" t="s">
        <v>319</v>
      </c>
      <c r="B163" s="30" t="s">
        <v>320</v>
      </c>
      <c r="C163" s="30">
        <v>94.0941162109375</v>
      </c>
      <c r="D163" s="30">
        <v>94.0941162109375</v>
      </c>
      <c r="E163" s="30">
        <v>94.0941162109375</v>
      </c>
      <c r="F163" s="30">
        <v>94.0941162109375</v>
      </c>
      <c r="G163" s="30">
        <v>94.0941162109375</v>
      </c>
      <c r="H163" s="30">
        <v>95.4118118286133</v>
      </c>
      <c r="I163" s="30">
        <v>95.7360763549805</v>
      </c>
      <c r="J163" s="30">
        <v>95.7360763549805</v>
      </c>
      <c r="K163" s="30">
        <v>95.7360763549805</v>
      </c>
      <c r="L163" s="30">
        <v>95.7360763549805</v>
      </c>
    </row>
    <row r="164" ht="14.25" customHeight="1">
      <c r="A164" s="30" t="s">
        <v>321</v>
      </c>
      <c r="B164" s="30" t="s">
        <v>322</v>
      </c>
      <c r="C164" s="30">
        <v>61.5999984741211</v>
      </c>
      <c r="D164" s="30">
        <v>61.5999984741211</v>
      </c>
      <c r="E164" s="30">
        <v>61.5999984741211</v>
      </c>
      <c r="F164" s="30">
        <v>61.5999984741211</v>
      </c>
      <c r="G164" s="30">
        <v>61.5999984741211</v>
      </c>
      <c r="H164" s="30">
        <v>61.5999984741211</v>
      </c>
      <c r="I164" s="30">
        <v>61.5999984741211</v>
      </c>
      <c r="J164" s="30">
        <v>61.5999984741211</v>
      </c>
      <c r="K164" s="30"/>
      <c r="L164" s="30"/>
    </row>
    <row r="165" ht="14.25" customHeight="1">
      <c r="A165" s="30" t="s">
        <v>323</v>
      </c>
      <c r="B165" s="30" t="s">
        <v>324</v>
      </c>
      <c r="C165" s="30">
        <v>95.0590362548828</v>
      </c>
      <c r="D165" s="30">
        <v>95.0348129272461</v>
      </c>
      <c r="E165" s="30">
        <v>95.5548400878906</v>
      </c>
      <c r="F165" s="30">
        <v>94.6502380371094</v>
      </c>
      <c r="G165" s="30">
        <v>94.6502380371094</v>
      </c>
      <c r="H165" s="30">
        <v>94.0207977294922</v>
      </c>
      <c r="I165" s="30">
        <v>93.2135314941406</v>
      </c>
      <c r="J165" s="30">
        <v>94.544548034668</v>
      </c>
      <c r="K165" s="30">
        <v>94.544548034668</v>
      </c>
      <c r="L165" s="30">
        <v>94.544548034668</v>
      </c>
    </row>
    <row r="166" ht="14.25" customHeight="1">
      <c r="A166" s="30" t="s">
        <v>325</v>
      </c>
      <c r="B166" s="30" t="s">
        <v>326</v>
      </c>
      <c r="C166" s="30">
        <v>93.8417282104492</v>
      </c>
      <c r="D166" s="30">
        <v>93.7079467773438</v>
      </c>
      <c r="E166" s="30">
        <v>94.1623382568359</v>
      </c>
      <c r="F166" s="30">
        <v>94.1736679077148</v>
      </c>
      <c r="G166" s="30">
        <v>94.1496124267578</v>
      </c>
      <c r="H166" s="30">
        <v>94.4082717895508</v>
      </c>
      <c r="I166" s="30">
        <v>94.4082717895508</v>
      </c>
      <c r="J166" s="30">
        <v>94.497932434082</v>
      </c>
      <c r="K166" s="30">
        <v>94.497932434082</v>
      </c>
      <c r="L166" s="30">
        <v>94.497932434082</v>
      </c>
    </row>
    <row r="167" ht="14.25" customHeight="1">
      <c r="A167" s="30" t="s">
        <v>327</v>
      </c>
      <c r="B167" s="30" t="s">
        <v>328</v>
      </c>
      <c r="C167" s="30">
        <v>96.3980026245117</v>
      </c>
      <c r="D167" s="30">
        <v>96.3980026245117</v>
      </c>
      <c r="E167" s="30">
        <v>98.1825485229492</v>
      </c>
      <c r="F167" s="30">
        <v>98.1825485229492</v>
      </c>
      <c r="G167" s="30">
        <v>98.1825485229492</v>
      </c>
      <c r="H167" s="30">
        <v>98.1825485229492</v>
      </c>
      <c r="I167" s="30">
        <v>96.2781677246094</v>
      </c>
      <c r="J167" s="30">
        <v>98.4745712280273</v>
      </c>
      <c r="K167" s="30">
        <v>98.4745712280273</v>
      </c>
      <c r="L167" s="30">
        <v>98.4745712280273</v>
      </c>
    </row>
    <row r="168" ht="14.25" customHeight="1">
      <c r="A168" s="30" t="s">
        <v>329</v>
      </c>
      <c r="B168" s="30" t="s">
        <v>330</v>
      </c>
      <c r="C168" s="30"/>
      <c r="D168" s="30"/>
      <c r="E168" s="30"/>
      <c r="F168" s="30"/>
      <c r="G168" s="30"/>
      <c r="H168" s="30"/>
      <c r="I168" s="30"/>
      <c r="J168" s="30"/>
      <c r="K168" s="30">
        <v>99.8000030517578</v>
      </c>
      <c r="L168" s="30">
        <v>99.8000030517578</v>
      </c>
    </row>
    <row r="169" ht="14.25" customHeight="1">
      <c r="A169" s="30" t="s">
        <v>331</v>
      </c>
      <c r="B169" s="30" t="s">
        <v>332</v>
      </c>
      <c r="C169" s="30">
        <v>94.47705078125</v>
      </c>
      <c r="D169" s="30">
        <v>94.47705078125</v>
      </c>
      <c r="E169" s="30">
        <v>94.47705078125</v>
      </c>
      <c r="F169" s="30">
        <v>94.47705078125</v>
      </c>
      <c r="G169" s="30">
        <v>94.47705078125</v>
      </c>
      <c r="H169" s="30">
        <v>94.47705078125</v>
      </c>
      <c r="I169" s="30">
        <v>94.47705078125</v>
      </c>
      <c r="J169" s="30">
        <v>94.47705078125</v>
      </c>
      <c r="K169" s="30">
        <v>96.7799987792969</v>
      </c>
      <c r="L169" s="30">
        <v>96.7799987792969</v>
      </c>
    </row>
    <row r="170" ht="14.25" customHeight="1">
      <c r="A170" s="30" t="s">
        <v>333</v>
      </c>
      <c r="B170" s="30" t="s">
        <v>334</v>
      </c>
      <c r="C170" s="30">
        <v>91.9652328491211</v>
      </c>
      <c r="D170" s="30">
        <v>91.9652328491211</v>
      </c>
      <c r="E170" s="30">
        <v>91.9652328491211</v>
      </c>
      <c r="F170" s="30">
        <v>91.9652328491211</v>
      </c>
      <c r="G170" s="30">
        <v>92.3899993896484</v>
      </c>
      <c r="H170" s="30">
        <v>92.3899993896484</v>
      </c>
      <c r="I170" s="30">
        <v>92.3899993896484</v>
      </c>
      <c r="J170" s="30">
        <v>92.3899993896484</v>
      </c>
      <c r="K170" s="30">
        <v>92.4000015258789</v>
      </c>
      <c r="L170" s="30">
        <v>92.4000015258789</v>
      </c>
    </row>
    <row r="171" ht="14.25" customHeight="1">
      <c r="A171" s="30" t="s">
        <v>335</v>
      </c>
      <c r="B171" s="30" t="s">
        <v>336</v>
      </c>
      <c r="C171" s="30">
        <v>97.4778518676758</v>
      </c>
      <c r="D171" s="30">
        <v>97.7466888427734</v>
      </c>
      <c r="E171" s="30">
        <v>97.7466888427734</v>
      </c>
      <c r="F171" s="30">
        <v>97.7466888427734</v>
      </c>
      <c r="G171" s="30">
        <v>97.7466888427734</v>
      </c>
      <c r="H171" s="30">
        <v>97.7466888427734</v>
      </c>
      <c r="I171" s="30">
        <v>97.7466888427734</v>
      </c>
      <c r="J171" s="30">
        <v>97.7466888427734</v>
      </c>
      <c r="K171" s="30">
        <v>97.7466888427734</v>
      </c>
      <c r="L171" s="30">
        <v>97.7466888427734</v>
      </c>
    </row>
    <row r="172" ht="14.25" customHeight="1">
      <c r="A172" s="30" t="s">
        <v>337</v>
      </c>
      <c r="B172" s="30" t="s">
        <v>338</v>
      </c>
      <c r="C172" s="30">
        <v>97.9659423828125</v>
      </c>
      <c r="D172" s="30">
        <v>97.9659423828125</v>
      </c>
      <c r="E172" s="30">
        <v>97.9659423828125</v>
      </c>
      <c r="F172" s="30">
        <v>97.9659423828125</v>
      </c>
      <c r="G172" s="30">
        <v>97.9659423828125</v>
      </c>
      <c r="H172" s="30">
        <v>98.8000030517578</v>
      </c>
      <c r="I172" s="30">
        <v>98.8000030517578</v>
      </c>
      <c r="J172" s="30">
        <v>98.8000030517578</v>
      </c>
      <c r="K172" s="30">
        <v>98.8000030517578</v>
      </c>
      <c r="L172" s="30">
        <v>98.8000030517578</v>
      </c>
    </row>
    <row r="173" ht="14.25" customHeight="1">
      <c r="A173" s="30" t="s">
        <v>339</v>
      </c>
      <c r="B173" s="30" t="s">
        <v>340</v>
      </c>
      <c r="C173" s="30"/>
      <c r="D173" s="30">
        <v>99.3598937988281</v>
      </c>
      <c r="E173" s="30">
        <v>99.3598937988281</v>
      </c>
      <c r="F173" s="30">
        <v>99.3598937988281</v>
      </c>
      <c r="G173" s="30">
        <v>99.3598937988281</v>
      </c>
      <c r="H173" s="30">
        <v>99.3598937988281</v>
      </c>
      <c r="I173" s="30">
        <v>99.3598937988281</v>
      </c>
      <c r="J173" s="30">
        <v>99.3598937988281</v>
      </c>
      <c r="K173" s="30">
        <v>99.5999984741211</v>
      </c>
      <c r="L173" s="30">
        <v>99.5999984741211</v>
      </c>
    </row>
    <row r="174" ht="14.25" customHeight="1">
      <c r="A174" s="30" t="s">
        <v>341</v>
      </c>
      <c r="B174" s="30" t="s">
        <v>342</v>
      </c>
      <c r="C174" s="30"/>
      <c r="D174" s="30"/>
      <c r="E174" s="30"/>
      <c r="F174" s="30"/>
      <c r="G174" s="30"/>
      <c r="H174" s="30"/>
      <c r="I174" s="30"/>
      <c r="J174" s="30"/>
      <c r="K174" s="30"/>
      <c r="L174" s="30"/>
    </row>
    <row r="175" ht="14.25" customHeight="1">
      <c r="A175" s="30" t="s">
        <v>343</v>
      </c>
      <c r="B175" s="30" t="s">
        <v>344</v>
      </c>
      <c r="C175" s="30">
        <v>98.6042861938477</v>
      </c>
      <c r="D175" s="30">
        <v>98.6042861938477</v>
      </c>
      <c r="E175" s="30">
        <v>98.6042861938477</v>
      </c>
      <c r="F175" s="30">
        <v>98.6042861938477</v>
      </c>
      <c r="G175" s="30">
        <v>98.6042861938477</v>
      </c>
      <c r="H175" s="30">
        <v>98.6042861938477</v>
      </c>
      <c r="I175" s="30">
        <v>98.6042861938477</v>
      </c>
      <c r="J175" s="30">
        <v>98.6042861938477</v>
      </c>
      <c r="K175" s="30">
        <v>99.1594314575195</v>
      </c>
      <c r="L175" s="30">
        <v>99.1594314575195</v>
      </c>
    </row>
    <row r="176" ht="14.25" customHeight="1">
      <c r="A176" s="30" t="s">
        <v>345</v>
      </c>
      <c r="B176" s="30" t="s">
        <v>346</v>
      </c>
      <c r="C176" s="30">
        <v>99.6842727661133</v>
      </c>
      <c r="D176" s="30">
        <v>99.6842727661133</v>
      </c>
      <c r="E176" s="30">
        <v>99.6842727661133</v>
      </c>
      <c r="F176" s="30">
        <v>99.6842727661133</v>
      </c>
      <c r="G176" s="30">
        <v>99.6842727661133</v>
      </c>
      <c r="H176" s="30">
        <v>99.6842727661133</v>
      </c>
      <c r="I176" s="30">
        <v>99.6842727661133</v>
      </c>
      <c r="J176" s="30">
        <v>99.6842727661133</v>
      </c>
      <c r="K176" s="30">
        <v>99.9277725219727</v>
      </c>
      <c r="L176" s="30">
        <v>99.9277725219727</v>
      </c>
    </row>
    <row r="177" ht="14.25" customHeight="1">
      <c r="A177" s="30" t="s">
        <v>347</v>
      </c>
      <c r="B177" s="30" t="s">
        <v>348</v>
      </c>
      <c r="C177" s="30">
        <v>65.8522720336914</v>
      </c>
      <c r="D177" s="30">
        <v>70.8041305541992</v>
      </c>
      <c r="E177" s="30">
        <v>70.8041305541992</v>
      </c>
      <c r="F177" s="30">
        <v>70.8041305541992</v>
      </c>
      <c r="G177" s="30">
        <v>70.8041305541992</v>
      </c>
      <c r="H177" s="30">
        <v>73.2155914306641</v>
      </c>
      <c r="I177" s="30">
        <v>73.2155914306641</v>
      </c>
      <c r="J177" s="30">
        <v>73.2155914306641</v>
      </c>
      <c r="K177" s="30">
        <v>73.2155914306641</v>
      </c>
      <c r="L177" s="30">
        <v>78.76318359375</v>
      </c>
    </row>
    <row r="178" ht="14.25" customHeight="1">
      <c r="A178" s="30" t="s">
        <v>349</v>
      </c>
      <c r="B178" s="30" t="s">
        <v>350</v>
      </c>
      <c r="C178" s="30"/>
      <c r="D178" s="30"/>
      <c r="E178" s="30"/>
      <c r="F178" s="30"/>
      <c r="G178" s="30"/>
      <c r="H178" s="30"/>
      <c r="I178" s="30"/>
      <c r="J178" s="30"/>
      <c r="K178" s="30"/>
      <c r="L178" s="30"/>
    </row>
    <row r="179" ht="14.25" customHeight="1">
      <c r="A179" s="30" t="s">
        <v>351</v>
      </c>
      <c r="B179" s="30" t="s">
        <v>352</v>
      </c>
      <c r="C179" s="30"/>
      <c r="D179" s="30"/>
      <c r="E179" s="30"/>
      <c r="F179" s="30"/>
      <c r="G179" s="30"/>
      <c r="H179" s="30"/>
      <c r="I179" s="30"/>
      <c r="J179" s="30"/>
      <c r="K179" s="30"/>
      <c r="L179" s="30"/>
    </row>
    <row r="180" ht="14.25" customHeight="1">
      <c r="A180" s="30" t="s">
        <v>353</v>
      </c>
      <c r="B180" s="30" t="s">
        <v>354</v>
      </c>
      <c r="C180" s="30"/>
      <c r="D180" s="30"/>
      <c r="E180" s="30"/>
      <c r="F180" s="30"/>
      <c r="G180" s="30"/>
      <c r="H180" s="30"/>
      <c r="I180" s="30"/>
      <c r="J180" s="30"/>
      <c r="K180" s="30"/>
      <c r="L180" s="30"/>
    </row>
    <row r="181" ht="14.25" customHeight="1">
      <c r="A181" s="30" t="s">
        <v>355</v>
      </c>
      <c r="B181" s="30" t="s">
        <v>356</v>
      </c>
      <c r="C181" s="30"/>
      <c r="D181" s="30"/>
      <c r="E181" s="30"/>
      <c r="F181" s="30"/>
      <c r="G181" s="30"/>
      <c r="H181" s="30"/>
      <c r="I181" s="30"/>
      <c r="J181" s="30"/>
      <c r="K181" s="30"/>
      <c r="L181" s="30"/>
    </row>
    <row r="182" ht="14.25" customHeight="1">
      <c r="A182" s="30" t="s">
        <v>357</v>
      </c>
      <c r="B182" s="30" t="s">
        <v>358</v>
      </c>
      <c r="C182" s="30"/>
      <c r="D182" s="30"/>
      <c r="E182" s="30"/>
      <c r="F182" s="30"/>
      <c r="G182" s="30"/>
      <c r="H182" s="30"/>
      <c r="I182" s="30"/>
      <c r="J182" s="30"/>
      <c r="K182" s="30"/>
      <c r="L182" s="30"/>
    </row>
    <row r="183" ht="14.25" customHeight="1">
      <c r="A183" s="30" t="s">
        <v>359</v>
      </c>
      <c r="B183" s="30" t="s">
        <v>360</v>
      </c>
      <c r="C183" s="30"/>
      <c r="D183" s="30"/>
      <c r="E183" s="30"/>
      <c r="F183" s="30"/>
      <c r="G183" s="30"/>
      <c r="H183" s="30"/>
      <c r="I183" s="30"/>
      <c r="J183" s="30"/>
      <c r="K183" s="30"/>
      <c r="L183" s="30"/>
    </row>
    <row r="184" ht="14.25" customHeight="1">
      <c r="A184" s="30" t="s">
        <v>361</v>
      </c>
      <c r="B184" s="30" t="s">
        <v>362</v>
      </c>
      <c r="C184" s="30"/>
      <c r="D184" s="30"/>
      <c r="E184" s="30"/>
      <c r="F184" s="30"/>
      <c r="G184" s="30"/>
      <c r="H184" s="30"/>
      <c r="I184" s="30"/>
      <c r="J184" s="30"/>
      <c r="K184" s="30"/>
      <c r="L184" s="30"/>
    </row>
    <row r="185" ht="14.25" customHeight="1">
      <c r="A185" s="30" t="s">
        <v>363</v>
      </c>
      <c r="B185" s="30" t="s">
        <v>364</v>
      </c>
      <c r="C185" s="30">
        <v>98.973258972168</v>
      </c>
      <c r="D185" s="30">
        <v>98.973258972168</v>
      </c>
      <c r="E185" s="30">
        <v>98.973258972168</v>
      </c>
      <c r="F185" s="30">
        <v>98.973258972168</v>
      </c>
      <c r="G185" s="30">
        <v>98.973258972168</v>
      </c>
      <c r="H185" s="30">
        <v>98.973258972168</v>
      </c>
      <c r="I185" s="30">
        <v>98.973258972168</v>
      </c>
      <c r="J185" s="30">
        <v>98.973258972168</v>
      </c>
      <c r="K185" s="30">
        <v>99.0999984741211</v>
      </c>
      <c r="L185" s="30">
        <v>99.0999984741211</v>
      </c>
    </row>
    <row r="186" ht="14.25" customHeight="1">
      <c r="A186" s="30" t="s">
        <v>365</v>
      </c>
      <c r="B186" s="30" t="s">
        <v>366</v>
      </c>
      <c r="C186" s="30"/>
      <c r="D186" s="30"/>
      <c r="E186" s="30"/>
      <c r="F186" s="30"/>
      <c r="G186" s="30"/>
      <c r="H186" s="30"/>
      <c r="I186" s="30"/>
      <c r="J186" s="30"/>
      <c r="K186" s="30"/>
      <c r="L186" s="30">
        <v>99.9147567749023</v>
      </c>
    </row>
    <row r="187" ht="14.25" customHeight="1">
      <c r="A187" s="30" t="s">
        <v>367</v>
      </c>
      <c r="B187" s="30" t="s">
        <v>368</v>
      </c>
      <c r="C187" s="30">
        <v>90.1430969238281</v>
      </c>
      <c r="D187" s="30">
        <v>90.1430969238281</v>
      </c>
      <c r="E187" s="30">
        <v>90.1430969238281</v>
      </c>
      <c r="F187" s="30">
        <v>90.1430969238281</v>
      </c>
      <c r="G187" s="30">
        <v>90.1430969238281</v>
      </c>
      <c r="H187" s="30">
        <v>90.1430969238281</v>
      </c>
      <c r="I187" s="30">
        <v>90.1430969238281</v>
      </c>
      <c r="J187" s="30">
        <v>90.1430969238281</v>
      </c>
      <c r="K187" s="30">
        <v>90.1430969238281</v>
      </c>
      <c r="L187" s="30">
        <v>93.75</v>
      </c>
    </row>
    <row r="188" ht="14.25" customHeight="1">
      <c r="A188" s="30" t="s">
        <v>369</v>
      </c>
      <c r="B188" s="30" t="s">
        <v>370</v>
      </c>
      <c r="C188" s="30">
        <v>94.4263381958008</v>
      </c>
      <c r="D188" s="30">
        <v>94.4263381958008</v>
      </c>
      <c r="E188" s="30">
        <v>94.4263381958008</v>
      </c>
      <c r="F188" s="30">
        <v>94.4263381958008</v>
      </c>
      <c r="G188" s="30">
        <v>95.3286285400391</v>
      </c>
      <c r="H188" s="30">
        <v>95.3286285400391</v>
      </c>
      <c r="I188" s="30">
        <v>95.3286285400391</v>
      </c>
      <c r="J188" s="30">
        <v>97.5850677490234</v>
      </c>
      <c r="K188" s="30">
        <v>97.5850677490234</v>
      </c>
      <c r="L188" s="30">
        <v>97.5850677490234</v>
      </c>
    </row>
    <row r="189" ht="14.25" customHeight="1">
      <c r="A189" s="30" t="s">
        <v>371</v>
      </c>
      <c r="B189" s="30" t="s">
        <v>372</v>
      </c>
      <c r="C189" s="30">
        <v>43.5345001220703</v>
      </c>
      <c r="D189" s="30">
        <v>43.5345001220703</v>
      </c>
      <c r="E189" s="30">
        <v>43.5345001220703</v>
      </c>
      <c r="F189" s="30">
        <v>43.5345001220703</v>
      </c>
      <c r="G189" s="30">
        <v>51.9004211425781</v>
      </c>
      <c r="H189" s="30">
        <v>51.9004211425781</v>
      </c>
      <c r="I189" s="30">
        <v>51.9004211425781</v>
      </c>
      <c r="J189" s="30">
        <v>51.9004211425781</v>
      </c>
      <c r="K189" s="30">
        <v>51.9004211425781</v>
      </c>
      <c r="L189" s="30">
        <v>57.6699981689453</v>
      </c>
    </row>
    <row r="190" ht="14.25" customHeight="1">
      <c r="A190" s="30" t="s">
        <v>373</v>
      </c>
      <c r="B190" s="30" t="s">
        <v>374</v>
      </c>
      <c r="C190" s="30">
        <v>97.9624099731445</v>
      </c>
      <c r="D190" s="30">
        <v>97.9624099731445</v>
      </c>
      <c r="E190" s="30">
        <v>97.9624099731445</v>
      </c>
      <c r="F190" s="30">
        <v>98.8415069580078</v>
      </c>
      <c r="G190" s="30">
        <v>98.8415069580078</v>
      </c>
      <c r="H190" s="30">
        <v>98.8415069580078</v>
      </c>
      <c r="I190" s="30">
        <v>99.4825286865234</v>
      </c>
      <c r="J190" s="30">
        <v>99.4825286865234</v>
      </c>
      <c r="K190" s="30">
        <v>99.4825286865234</v>
      </c>
      <c r="L190" s="30">
        <v>99.4825286865234</v>
      </c>
    </row>
    <row r="191" ht="14.25" customHeight="1">
      <c r="A191" s="30" t="s">
        <v>375</v>
      </c>
      <c r="B191" s="30" t="s">
        <v>376</v>
      </c>
      <c r="C191" s="30">
        <v>93.954231262207</v>
      </c>
      <c r="D191" s="30">
        <v>93.954231262207</v>
      </c>
      <c r="E191" s="30">
        <v>93.954231262207</v>
      </c>
      <c r="F191" s="30">
        <v>93.954231262207</v>
      </c>
      <c r="G191" s="30">
        <v>93.954231262207</v>
      </c>
      <c r="H191" s="30">
        <v>93.954231262207</v>
      </c>
      <c r="I191" s="30">
        <v>93.954231262207</v>
      </c>
      <c r="J191" s="30">
        <v>96.1999969482422</v>
      </c>
      <c r="K191" s="30">
        <v>96.1999969482422</v>
      </c>
      <c r="L191" s="30">
        <v>96.1999969482422</v>
      </c>
    </row>
    <row r="192" ht="14.25" customHeight="1">
      <c r="A192" s="30" t="s">
        <v>377</v>
      </c>
      <c r="B192" s="30" t="s">
        <v>378</v>
      </c>
      <c r="C192" s="30">
        <v>32.4261703491211</v>
      </c>
      <c r="D192" s="30">
        <v>32.4261703491211</v>
      </c>
      <c r="E192" s="30">
        <v>32.4261703491211</v>
      </c>
      <c r="F192" s="30">
        <v>32.4261703491211</v>
      </c>
      <c r="G192" s="30">
        <v>32.4261703491211</v>
      </c>
      <c r="H192" s="30">
        <v>32.4261703491211</v>
      </c>
      <c r="I192" s="30">
        <v>32.4261703491211</v>
      </c>
      <c r="J192" s="30">
        <v>32.4261703491211</v>
      </c>
      <c r="K192" s="30">
        <v>32.4261703491211</v>
      </c>
      <c r="L192" s="30">
        <v>48.6399993896484</v>
      </c>
    </row>
    <row r="193" ht="14.25" customHeight="1">
      <c r="A193" s="30" t="s">
        <v>379</v>
      </c>
      <c r="B193" s="30" t="s">
        <v>380</v>
      </c>
      <c r="C193" s="30">
        <v>96.5480194091797</v>
      </c>
      <c r="D193" s="30">
        <v>96.7166900634766</v>
      </c>
      <c r="E193" s="30">
        <v>96.8254928588867</v>
      </c>
      <c r="F193" s="30">
        <v>97.049560546875</v>
      </c>
      <c r="G193" s="30">
        <v>97.2022171020508</v>
      </c>
      <c r="H193" s="30">
        <v>97.344856262207</v>
      </c>
      <c r="I193" s="30">
        <v>97.4795837402344</v>
      </c>
      <c r="J193" s="30">
        <v>97.1318511962891</v>
      </c>
      <c r="K193" s="30">
        <v>97.6475296020508</v>
      </c>
      <c r="L193" s="30">
        <v>97.6475296020508</v>
      </c>
    </row>
    <row r="194" ht="14.25" customHeight="1">
      <c r="A194" s="30" t="s">
        <v>381</v>
      </c>
      <c r="B194" s="30" t="s">
        <v>382</v>
      </c>
      <c r="C194" s="30"/>
      <c r="D194" s="30"/>
      <c r="E194" s="30"/>
      <c r="F194" s="30"/>
      <c r="G194" s="30"/>
      <c r="H194" s="30"/>
      <c r="I194" s="30"/>
      <c r="J194" s="30"/>
      <c r="K194" s="30"/>
      <c r="L194" s="30"/>
    </row>
    <row r="195" ht="14.25" customHeight="1">
      <c r="A195" s="30" t="s">
        <v>383</v>
      </c>
      <c r="B195" s="30" t="s">
        <v>384</v>
      </c>
      <c r="C195" s="30"/>
      <c r="D195" s="30"/>
      <c r="E195" s="30"/>
      <c r="F195" s="30"/>
      <c r="G195" s="30"/>
      <c r="H195" s="30"/>
      <c r="I195" s="30"/>
      <c r="J195" s="30"/>
      <c r="K195" s="30"/>
      <c r="L195" s="30"/>
    </row>
    <row r="196" ht="14.25" customHeight="1">
      <c r="A196" s="30" t="s">
        <v>385</v>
      </c>
      <c r="B196" s="30" t="s">
        <v>386</v>
      </c>
      <c r="C196" s="30"/>
      <c r="D196" s="30"/>
      <c r="E196" s="30"/>
      <c r="F196" s="30"/>
      <c r="G196" s="30"/>
      <c r="H196" s="30"/>
      <c r="I196" s="30"/>
      <c r="J196" s="30"/>
      <c r="K196" s="30"/>
      <c r="L196" s="30"/>
    </row>
    <row r="197" ht="14.25" customHeight="1">
      <c r="A197" s="30" t="s">
        <v>387</v>
      </c>
      <c r="B197" s="30" t="s">
        <v>388</v>
      </c>
      <c r="C197" s="30"/>
      <c r="D197" s="30"/>
      <c r="E197" s="30"/>
      <c r="F197" s="30"/>
      <c r="G197" s="30"/>
      <c r="H197" s="30"/>
      <c r="I197" s="30"/>
      <c r="J197" s="30"/>
      <c r="K197" s="30"/>
      <c r="L197" s="30"/>
    </row>
    <row r="198" ht="14.25" customHeight="1">
      <c r="A198" s="30" t="s">
        <v>389</v>
      </c>
      <c r="B198" s="30" t="s">
        <v>390</v>
      </c>
      <c r="C198" s="30"/>
      <c r="D198" s="30"/>
      <c r="E198" s="30"/>
      <c r="F198" s="30"/>
      <c r="G198" s="30"/>
      <c r="H198" s="30"/>
      <c r="I198" s="30"/>
      <c r="J198" s="30"/>
      <c r="K198" s="30"/>
      <c r="L198" s="30">
        <v>41.0250015258789</v>
      </c>
    </row>
    <row r="199" ht="14.25" customHeight="1">
      <c r="A199" s="30" t="s">
        <v>391</v>
      </c>
      <c r="B199" s="30" t="s">
        <v>392</v>
      </c>
      <c r="C199" s="30">
        <v>93.7294692993164</v>
      </c>
      <c r="D199" s="30">
        <v>94.1399002075195</v>
      </c>
      <c r="E199" s="30">
        <v>94.367919921875</v>
      </c>
      <c r="F199" s="30">
        <v>94.367919921875</v>
      </c>
      <c r="G199" s="30">
        <v>87.0466690063477</v>
      </c>
      <c r="H199" s="30">
        <v>87.0466690063477</v>
      </c>
      <c r="I199" s="30">
        <v>95.0229721069336</v>
      </c>
      <c r="J199" s="30">
        <v>95.0229721069336</v>
      </c>
      <c r="K199" s="30">
        <v>90.0013580322266</v>
      </c>
      <c r="L199" s="30">
        <v>90.0013580322266</v>
      </c>
    </row>
    <row r="200" ht="14.25" customHeight="1">
      <c r="A200" s="30" t="s">
        <v>393</v>
      </c>
      <c r="B200" s="30" t="s">
        <v>394</v>
      </c>
      <c r="C200" s="30">
        <v>26.8312797546387</v>
      </c>
      <c r="D200" s="30">
        <v>26.8312797546387</v>
      </c>
      <c r="E200" s="30">
        <v>26.8312797546387</v>
      </c>
      <c r="F200" s="30">
        <v>26.8312797546387</v>
      </c>
      <c r="G200" s="30">
        <v>26.8312797546387</v>
      </c>
      <c r="H200" s="30">
        <v>34.5227584838867</v>
      </c>
      <c r="I200" s="30">
        <v>34.5227584838867</v>
      </c>
      <c r="J200" s="30">
        <v>34.5227584838867</v>
      </c>
      <c r="K200" s="30">
        <v>34.5227584838867</v>
      </c>
      <c r="L200" s="30">
        <v>34.5227584838867</v>
      </c>
    </row>
    <row r="201" ht="14.25" customHeight="1">
      <c r="A201" s="30" t="s">
        <v>395</v>
      </c>
      <c r="B201" s="30" t="s">
        <v>396</v>
      </c>
      <c r="C201" s="30">
        <v>98.0791320800781</v>
      </c>
      <c r="D201" s="30">
        <v>98.0937194824219</v>
      </c>
      <c r="E201" s="30">
        <v>98.1432571411133</v>
      </c>
      <c r="F201" s="30">
        <v>98.2505111694336</v>
      </c>
      <c r="G201" s="30">
        <v>98.2505111694336</v>
      </c>
      <c r="H201" s="30">
        <v>98.4365005493164</v>
      </c>
      <c r="I201" s="30">
        <v>98.4365005493164</v>
      </c>
      <c r="J201" s="30">
        <v>98.5944595336914</v>
      </c>
      <c r="K201" s="30">
        <v>98.5944595336914</v>
      </c>
      <c r="L201" s="30">
        <v>98.5944595336914</v>
      </c>
    </row>
    <row r="202" ht="14.25" customHeight="1">
      <c r="A202" s="30" t="s">
        <v>397</v>
      </c>
      <c r="B202" s="30" t="s">
        <v>398</v>
      </c>
      <c r="C202" s="30">
        <v>91.1813583374023</v>
      </c>
      <c r="D202" s="30">
        <v>91.1813583374023</v>
      </c>
      <c r="E202" s="30">
        <v>91.1813583374023</v>
      </c>
      <c r="F202" s="30">
        <v>92.3869018554688</v>
      </c>
      <c r="G202" s="30">
        <v>91.895751953125</v>
      </c>
      <c r="H202" s="30">
        <v>91.7098236083984</v>
      </c>
      <c r="I202" s="30">
        <v>92.2529602050781</v>
      </c>
      <c r="J202" s="30">
        <v>92.3823013305664</v>
      </c>
      <c r="K202" s="30">
        <v>92.4290313720703</v>
      </c>
      <c r="L202" s="30">
        <v>92.4924087524414</v>
      </c>
    </row>
    <row r="203" ht="14.25" customHeight="1">
      <c r="A203" s="30" t="s">
        <v>401</v>
      </c>
      <c r="B203" s="30" t="s">
        <v>402</v>
      </c>
      <c r="C203" s="30">
        <v>53.5173797607422</v>
      </c>
      <c r="D203" s="30">
        <v>53.5173797607422</v>
      </c>
      <c r="E203" s="30">
        <v>53.5173797607422</v>
      </c>
      <c r="F203" s="30">
        <v>53.5173797607422</v>
      </c>
      <c r="G203" s="30">
        <v>53.5173797607422</v>
      </c>
      <c r="H203" s="30">
        <v>60.6971817016602</v>
      </c>
      <c r="I203" s="30">
        <v>60.6971817016602</v>
      </c>
      <c r="J203" s="30">
        <v>60.6971817016602</v>
      </c>
      <c r="K203" s="30">
        <v>60.6971817016602</v>
      </c>
      <c r="L203" s="30">
        <v>60.6971817016602</v>
      </c>
    </row>
    <row r="204" ht="14.25" customHeight="1">
      <c r="A204" s="30" t="s">
        <v>403</v>
      </c>
      <c r="B204" s="30" t="s">
        <v>404</v>
      </c>
      <c r="C204" s="30">
        <v>92.8686599731445</v>
      </c>
      <c r="D204" s="30">
        <v>92.8686599731445</v>
      </c>
      <c r="E204" s="30">
        <v>92.8686599731445</v>
      </c>
      <c r="F204" s="30">
        <v>92.8686599731445</v>
      </c>
      <c r="G204" s="30">
        <v>92.8686599731445</v>
      </c>
      <c r="H204" s="30">
        <v>92.8686599731445</v>
      </c>
      <c r="I204" s="30">
        <v>92.8686599731445</v>
      </c>
      <c r="J204" s="30">
        <v>92.8686599731445</v>
      </c>
      <c r="K204" s="30">
        <v>95.0</v>
      </c>
      <c r="L204" s="30">
        <v>95.0</v>
      </c>
    </row>
    <row r="205" ht="14.25" customHeight="1">
      <c r="A205" s="30" t="s">
        <v>405</v>
      </c>
      <c r="B205" s="30" t="s">
        <v>406</v>
      </c>
      <c r="C205" s="30"/>
      <c r="D205" s="30"/>
      <c r="E205" s="30"/>
      <c r="F205" s="30"/>
      <c r="G205" s="30"/>
      <c r="H205" s="30"/>
      <c r="I205" s="30"/>
      <c r="J205" s="30"/>
      <c r="K205" s="30"/>
      <c r="L205" s="30"/>
    </row>
    <row r="206" ht="14.25" customHeight="1">
      <c r="A206" s="30" t="s">
        <v>407</v>
      </c>
      <c r="B206" s="30" t="s">
        <v>408</v>
      </c>
      <c r="C206" s="30"/>
      <c r="D206" s="30"/>
      <c r="E206" s="30"/>
      <c r="F206" s="30"/>
      <c r="G206" s="30"/>
      <c r="H206" s="30"/>
      <c r="I206" s="30"/>
      <c r="J206" s="30"/>
      <c r="K206" s="30"/>
      <c r="L206" s="30"/>
    </row>
    <row r="207" ht="14.25" customHeight="1">
      <c r="A207" s="30" t="s">
        <v>409</v>
      </c>
      <c r="B207" s="30" t="s">
        <v>410</v>
      </c>
      <c r="C207" s="30">
        <v>80.8445205688477</v>
      </c>
      <c r="D207" s="30">
        <v>86.3000030517578</v>
      </c>
      <c r="E207" s="30">
        <v>86.3000030517578</v>
      </c>
      <c r="F207" s="30">
        <v>86.3000030517578</v>
      </c>
      <c r="G207" s="30">
        <v>86.3000030517578</v>
      </c>
      <c r="H207" s="30">
        <v>86.3000030517578</v>
      </c>
      <c r="I207" s="30">
        <v>86.3000030517578</v>
      </c>
      <c r="J207" s="30">
        <v>86.3000030517578</v>
      </c>
      <c r="K207" s="30">
        <v>94.4191436767578</v>
      </c>
      <c r="L207" s="30">
        <v>94.4191436767578</v>
      </c>
    </row>
    <row r="208" ht="14.25" customHeight="1">
      <c r="A208" s="30" t="s">
        <v>411</v>
      </c>
      <c r="B208" s="30" t="s">
        <v>412</v>
      </c>
      <c r="C208" s="30">
        <v>99.6999969482422</v>
      </c>
      <c r="D208" s="30">
        <v>99.6999969482422</v>
      </c>
      <c r="E208" s="30">
        <v>99.6999969482422</v>
      </c>
      <c r="F208" s="30">
        <v>99.6999969482422</v>
      </c>
      <c r="G208" s="30">
        <v>99.6999969482422</v>
      </c>
      <c r="H208" s="30">
        <v>99.6999969482422</v>
      </c>
      <c r="I208" s="30">
        <v>99.6999969482422</v>
      </c>
      <c r="J208" s="30">
        <v>99.6999969482422</v>
      </c>
      <c r="K208" s="30"/>
      <c r="L208" s="30"/>
    </row>
    <row r="209" ht="14.25" customHeight="1">
      <c r="A209" s="30" t="s">
        <v>413</v>
      </c>
      <c r="B209" s="30" t="s">
        <v>414</v>
      </c>
      <c r="C209" s="30">
        <v>93.7020721435547</v>
      </c>
      <c r="D209" s="30">
        <v>93.7020721435547</v>
      </c>
      <c r="E209" s="30">
        <v>92.8683090209961</v>
      </c>
      <c r="F209" s="30">
        <v>92.8683090209961</v>
      </c>
      <c r="G209" s="30">
        <v>92.8683090209961</v>
      </c>
      <c r="H209" s="30">
        <v>93.7677612304688</v>
      </c>
      <c r="I209" s="30">
        <v>93.7677612304688</v>
      </c>
      <c r="J209" s="30">
        <v>93.7677612304688</v>
      </c>
      <c r="K209" s="30">
        <v>94.0999984741211</v>
      </c>
      <c r="L209" s="30">
        <v>94.0999984741211</v>
      </c>
    </row>
    <row r="210" ht="14.25" customHeight="1">
      <c r="A210" s="30" t="s">
        <v>415</v>
      </c>
      <c r="B210" s="30" t="s">
        <v>416</v>
      </c>
      <c r="C210" s="30">
        <v>58.3089790344238</v>
      </c>
      <c r="D210" s="30">
        <v>58.3089790344238</v>
      </c>
      <c r="E210" s="30">
        <v>58.3089790344238</v>
      </c>
      <c r="F210" s="30">
        <v>58.3089790344238</v>
      </c>
      <c r="G210" s="30">
        <v>58.3089790344238</v>
      </c>
      <c r="H210" s="30">
        <v>58.3089790344238</v>
      </c>
      <c r="I210" s="30">
        <v>58.3089790344238</v>
      </c>
      <c r="J210" s="30">
        <v>69.9000015258789</v>
      </c>
      <c r="K210" s="30">
        <v>69.9000015258789</v>
      </c>
      <c r="L210" s="30">
        <v>69.9000015258789</v>
      </c>
    </row>
    <row r="211" ht="14.25" customHeight="1">
      <c r="A211" s="30" t="s">
        <v>417</v>
      </c>
      <c r="B211" s="30" t="s">
        <v>418</v>
      </c>
      <c r="C211" s="30">
        <v>60.4099388122559</v>
      </c>
      <c r="D211" s="30">
        <v>60.4099388122559</v>
      </c>
      <c r="E211" s="30">
        <v>63.7456207275391</v>
      </c>
      <c r="F211" s="30">
        <v>63.7456207275391</v>
      </c>
      <c r="G211" s="30">
        <v>63.7456207275391</v>
      </c>
      <c r="H211" s="30">
        <v>63.7456207275391</v>
      </c>
      <c r="I211" s="30">
        <v>66.5370788574219</v>
      </c>
      <c r="J211" s="30">
        <v>66.5370788574219</v>
      </c>
      <c r="K211" s="30">
        <v>66.5370788574219</v>
      </c>
      <c r="L211" s="30">
        <v>66.5370788574219</v>
      </c>
    </row>
    <row r="212" ht="14.25" customHeight="1">
      <c r="A212" s="30" t="s">
        <v>419</v>
      </c>
      <c r="B212" s="30" t="s">
        <v>420</v>
      </c>
      <c r="C212" s="30"/>
      <c r="D212" s="30"/>
      <c r="E212" s="30"/>
      <c r="F212" s="30"/>
      <c r="G212" s="30"/>
      <c r="H212" s="30"/>
      <c r="I212" s="30"/>
      <c r="J212" s="30"/>
      <c r="K212" s="30"/>
      <c r="L212" s="30"/>
    </row>
    <row r="213" ht="14.25" customHeight="1">
      <c r="A213" s="30" t="s">
        <v>421</v>
      </c>
      <c r="B213" s="30" t="s">
        <v>422</v>
      </c>
      <c r="C213" s="30">
        <v>99.3855285644531</v>
      </c>
      <c r="D213" s="30">
        <v>99.3855285644531</v>
      </c>
      <c r="E213" s="30">
        <v>99.3855285644531</v>
      </c>
      <c r="F213" s="30">
        <v>99.3855285644531</v>
      </c>
      <c r="G213" s="30">
        <v>99.3855285644531</v>
      </c>
      <c r="H213" s="30">
        <v>99.3855285644531</v>
      </c>
      <c r="I213" s="30">
        <v>99.3855285644531</v>
      </c>
      <c r="J213" s="30">
        <v>99.3855285644531</v>
      </c>
      <c r="K213" s="30">
        <v>99.4000015258789</v>
      </c>
      <c r="L213" s="30">
        <v>99.4000015258789</v>
      </c>
    </row>
    <row r="214" ht="14.25" customHeight="1">
      <c r="A214" s="30" t="s">
        <v>423</v>
      </c>
      <c r="B214" s="30" t="s">
        <v>424</v>
      </c>
      <c r="C214" s="30"/>
      <c r="D214" s="30"/>
      <c r="E214" s="30"/>
      <c r="F214" s="30"/>
      <c r="G214" s="30"/>
      <c r="H214" s="30"/>
      <c r="I214" s="30"/>
      <c r="J214" s="30"/>
      <c r="K214" s="30"/>
      <c r="L214" s="30"/>
    </row>
    <row r="215" ht="14.25" customHeight="1">
      <c r="A215" s="30" t="s">
        <v>425</v>
      </c>
      <c r="B215" s="30" t="s">
        <v>426</v>
      </c>
      <c r="C215" s="30">
        <v>80.21875</v>
      </c>
      <c r="D215" s="30">
        <v>79.0364303588867</v>
      </c>
      <c r="E215" s="30">
        <v>79.0364303588867</v>
      </c>
      <c r="F215" s="30">
        <v>79.0364303588867</v>
      </c>
      <c r="G215" s="30">
        <v>79.0364303588867</v>
      </c>
      <c r="H215" s="30">
        <v>79.0364303588867</v>
      </c>
      <c r="I215" s="30">
        <v>80.5475769042969</v>
      </c>
      <c r="J215" s="30">
        <v>80.5475769042969</v>
      </c>
      <c r="K215" s="30">
        <v>80.5475769042969</v>
      </c>
      <c r="L215" s="30">
        <v>80.5475769042969</v>
      </c>
    </row>
    <row r="216" ht="14.25" customHeight="1">
      <c r="A216" s="30" t="s">
        <v>427</v>
      </c>
      <c r="B216" s="30" t="s">
        <v>428</v>
      </c>
      <c r="C216" s="30">
        <v>95.2566604614258</v>
      </c>
      <c r="D216" s="30">
        <v>95.4396286010742</v>
      </c>
      <c r="E216" s="30">
        <v>95.6014175415039</v>
      </c>
      <c r="F216" s="30">
        <v>96.1673278808594</v>
      </c>
      <c r="G216" s="30">
        <v>96.1505279541016</v>
      </c>
      <c r="H216" s="30">
        <v>96.1505279541016</v>
      </c>
      <c r="I216" s="30">
        <v>96.7422103881836</v>
      </c>
      <c r="J216" s="30">
        <v>96.7422103881836</v>
      </c>
      <c r="K216" s="30">
        <v>96.7422103881836</v>
      </c>
      <c r="L216" s="30">
        <v>96.7422103881836</v>
      </c>
    </row>
    <row r="217" ht="14.25" customHeight="1">
      <c r="A217" s="30" t="s">
        <v>429</v>
      </c>
      <c r="B217" s="30" t="s">
        <v>430</v>
      </c>
      <c r="C217" s="30">
        <v>99.4000015258789</v>
      </c>
      <c r="D217" s="30">
        <v>99.4000015258789</v>
      </c>
      <c r="E217" s="30">
        <v>99.4000015258789</v>
      </c>
      <c r="F217" s="30"/>
      <c r="G217" s="30"/>
      <c r="H217" s="30"/>
      <c r="I217" s="30"/>
      <c r="J217" s="30"/>
      <c r="K217" s="30"/>
      <c r="L217" s="30"/>
    </row>
    <row r="218" ht="14.25" customHeight="1">
      <c r="A218" s="30" t="s">
        <v>431</v>
      </c>
      <c r="B218" s="30" t="s">
        <v>432</v>
      </c>
      <c r="C218" s="30"/>
      <c r="D218" s="30"/>
      <c r="E218" s="30"/>
      <c r="F218" s="30"/>
      <c r="G218" s="30"/>
      <c r="H218" s="30"/>
      <c r="I218" s="30"/>
      <c r="J218" s="30"/>
      <c r="K218" s="30"/>
      <c r="L218" s="30"/>
    </row>
    <row r="219" ht="14.25" customHeight="1">
      <c r="A219" s="30" t="s">
        <v>433</v>
      </c>
      <c r="B219" s="30" t="s">
        <v>434</v>
      </c>
      <c r="C219" s="30"/>
      <c r="D219" s="30"/>
      <c r="E219" s="30"/>
      <c r="F219" s="30"/>
      <c r="G219" s="30"/>
      <c r="H219" s="30"/>
      <c r="I219" s="30"/>
      <c r="J219" s="30"/>
      <c r="K219" s="30"/>
      <c r="L219" s="30"/>
    </row>
    <row r="220" ht="14.25" customHeight="1">
      <c r="A220" s="30" t="s">
        <v>435</v>
      </c>
      <c r="B220" s="30" t="s">
        <v>436</v>
      </c>
      <c r="C220" s="30">
        <v>70.1982192993164</v>
      </c>
      <c r="D220" s="30">
        <v>70.1982192993164</v>
      </c>
      <c r="E220" s="30">
        <v>70.1982192993164</v>
      </c>
      <c r="F220" s="30">
        <v>70.1982192993164</v>
      </c>
      <c r="G220" s="30">
        <v>70.1982192993164</v>
      </c>
      <c r="H220" s="30">
        <v>76.5274963378906</v>
      </c>
      <c r="I220" s="30">
        <v>76.5274963378906</v>
      </c>
      <c r="J220" s="30">
        <v>76.5274963378906</v>
      </c>
      <c r="K220" s="30">
        <v>76.5274963378906</v>
      </c>
      <c r="L220" s="30">
        <v>80.5899963378906</v>
      </c>
    </row>
    <row r="221" ht="14.25" customHeight="1">
      <c r="A221" s="30" t="s">
        <v>437</v>
      </c>
      <c r="B221" s="30" t="s">
        <v>438</v>
      </c>
      <c r="C221" s="30">
        <v>99.9743499755859</v>
      </c>
      <c r="D221" s="30">
        <v>99.9743499755859</v>
      </c>
      <c r="E221" s="30">
        <v>99.9743499755859</v>
      </c>
      <c r="F221" s="30">
        <v>99.9743499755859</v>
      </c>
      <c r="G221" s="30">
        <v>99.9743499755859</v>
      </c>
      <c r="H221" s="30">
        <v>99.9743499755859</v>
      </c>
      <c r="I221" s="30">
        <v>99.9743499755859</v>
      </c>
      <c r="J221" s="30">
        <v>99.9743499755859</v>
      </c>
      <c r="K221" s="30">
        <v>100.0</v>
      </c>
      <c r="L221" s="30">
        <v>100.0</v>
      </c>
    </row>
    <row r="222" ht="14.25" customHeight="1">
      <c r="A222" s="30" t="s">
        <v>439</v>
      </c>
      <c r="B222" s="30" t="s">
        <v>440</v>
      </c>
      <c r="C222" s="30">
        <v>90.0338516235352</v>
      </c>
      <c r="D222" s="30">
        <v>90.0338516235352</v>
      </c>
      <c r="E222" s="30">
        <v>90.0338516235352</v>
      </c>
      <c r="F222" s="30"/>
      <c r="G222" s="30"/>
      <c r="H222" s="30"/>
      <c r="I222" s="30">
        <v>97.7825088500977</v>
      </c>
      <c r="J222" s="30">
        <v>97.7825088500977</v>
      </c>
      <c r="K222" s="30">
        <v>98.1263580322266</v>
      </c>
      <c r="L222" s="30">
        <v>98.2854080200195</v>
      </c>
    </row>
    <row r="223" ht="14.25" customHeight="1">
      <c r="A223" s="30" t="s">
        <v>475</v>
      </c>
      <c r="B223" s="30" t="s">
        <v>442</v>
      </c>
      <c r="C223" s="30"/>
      <c r="D223" s="30"/>
      <c r="E223" s="30"/>
      <c r="F223" s="30"/>
      <c r="G223" s="30"/>
      <c r="H223" s="30"/>
      <c r="I223" s="30"/>
      <c r="J223" s="30"/>
      <c r="K223" s="30"/>
      <c r="L223" s="30"/>
    </row>
    <row r="224" ht="14.25" customHeight="1">
      <c r="A224" s="30" t="s">
        <v>443</v>
      </c>
      <c r="B224" s="30" t="s">
        <v>444</v>
      </c>
      <c r="C224" s="30">
        <v>78.1005935668945</v>
      </c>
      <c r="D224" s="30">
        <v>78.1005935668945</v>
      </c>
      <c r="E224" s="30">
        <v>77.8872299194336</v>
      </c>
      <c r="F224" s="30">
        <v>77.8872299194336</v>
      </c>
      <c r="G224" s="30">
        <v>77.8872299194336</v>
      </c>
      <c r="H224" s="30">
        <v>77.8872299194336</v>
      </c>
      <c r="I224" s="30">
        <v>77.8872299194336</v>
      </c>
      <c r="J224" s="30">
        <v>77.8872299194336</v>
      </c>
      <c r="K224" s="30">
        <v>77.8872299194336</v>
      </c>
      <c r="L224" s="30">
        <v>82.0199966430664</v>
      </c>
    </row>
    <row r="225" ht="14.25" customHeight="1">
      <c r="A225" s="30" t="s">
        <v>447</v>
      </c>
      <c r="B225" s="30" t="s">
        <v>448</v>
      </c>
      <c r="C225" s="30"/>
      <c r="D225" s="30"/>
      <c r="E225" s="30"/>
      <c r="F225" s="30"/>
      <c r="G225" s="30"/>
      <c r="H225" s="30"/>
      <c r="I225" s="30"/>
      <c r="J225" s="30"/>
      <c r="K225" s="30"/>
      <c r="L225" s="30"/>
    </row>
    <row r="226" ht="14.25" customHeight="1">
      <c r="A226" s="30" t="s">
        <v>445</v>
      </c>
      <c r="B226" s="30" t="s">
        <v>446</v>
      </c>
      <c r="C226" s="30"/>
      <c r="D226" s="30"/>
      <c r="E226" s="30"/>
      <c r="F226" s="30"/>
      <c r="G226" s="30"/>
      <c r="H226" s="30"/>
      <c r="I226" s="30"/>
      <c r="J226" s="30"/>
      <c r="K226" s="30"/>
      <c r="L226" s="30"/>
    </row>
    <row r="227" ht="14.25" customHeight="1">
      <c r="A227" s="30" t="s">
        <v>449</v>
      </c>
      <c r="B227" s="30" t="s">
        <v>450</v>
      </c>
      <c r="C227" s="30">
        <v>98.3638687133789</v>
      </c>
      <c r="D227" s="30">
        <v>98.4359283447266</v>
      </c>
      <c r="E227" s="30">
        <v>98.5238723754883</v>
      </c>
      <c r="F227" s="30">
        <v>98.5614700317383</v>
      </c>
      <c r="G227" s="30">
        <v>98.61572265625</v>
      </c>
      <c r="H227" s="30">
        <v>98.703857421875</v>
      </c>
      <c r="I227" s="30">
        <v>98.7703475952148</v>
      </c>
      <c r="J227" s="30">
        <v>98.7703475952148</v>
      </c>
      <c r="K227" s="30">
        <v>98.7703475952148</v>
      </c>
      <c r="L227" s="30">
        <v>98.7703475952148</v>
      </c>
    </row>
    <row r="228" ht="14.25" customHeight="1">
      <c r="A228" s="30" t="s">
        <v>451</v>
      </c>
      <c r="B228" s="30" t="s">
        <v>452</v>
      </c>
      <c r="C228" s="30">
        <v>99.9948577880859</v>
      </c>
      <c r="D228" s="30">
        <v>99.9805526733398</v>
      </c>
      <c r="E228" s="30">
        <v>99.9838333129883</v>
      </c>
      <c r="F228" s="30">
        <v>99.986572265625</v>
      </c>
      <c r="G228" s="30">
        <v>99.986572265625</v>
      </c>
      <c r="H228" s="30">
        <v>99.9928894042969</v>
      </c>
      <c r="I228" s="30">
        <v>99.9999465942383</v>
      </c>
      <c r="J228" s="30">
        <v>99.9999465942383</v>
      </c>
      <c r="K228" s="30">
        <v>99.997917175293</v>
      </c>
      <c r="L228" s="30">
        <v>99.9999771118164</v>
      </c>
    </row>
    <row r="229" ht="14.25" customHeight="1">
      <c r="A229" s="30" t="s">
        <v>453</v>
      </c>
      <c r="B229" s="30" t="s">
        <v>454</v>
      </c>
      <c r="C229" s="30">
        <v>78.4000015258789</v>
      </c>
      <c r="D229" s="30">
        <v>84.6999969482422</v>
      </c>
      <c r="E229" s="30">
        <v>84.6999969482422</v>
      </c>
      <c r="F229" s="30">
        <v>84.6999969482422</v>
      </c>
      <c r="G229" s="30">
        <v>84.6999969482422</v>
      </c>
      <c r="H229" s="30">
        <v>84.6999969482422</v>
      </c>
      <c r="I229" s="30">
        <v>84.6999969482422</v>
      </c>
      <c r="J229" s="30">
        <v>84.6999969482422</v>
      </c>
      <c r="K229" s="30">
        <v>89.0999984741211</v>
      </c>
      <c r="L229" s="30">
        <v>89.0999984741211</v>
      </c>
    </row>
    <row r="230" ht="14.25" customHeight="1">
      <c r="A230" s="30" t="s">
        <v>455</v>
      </c>
      <c r="B230" s="30" t="s">
        <v>456</v>
      </c>
      <c r="C230" s="30">
        <v>94.7702178955078</v>
      </c>
      <c r="D230" s="30">
        <v>94.7702178955078</v>
      </c>
      <c r="E230" s="30">
        <v>96.6052169799805</v>
      </c>
      <c r="F230" s="30">
        <v>97.1270904541016</v>
      </c>
      <c r="G230" s="30">
        <v>97.1270904541016</v>
      </c>
      <c r="H230" s="30">
        <v>97.1270904541016</v>
      </c>
      <c r="I230" s="30">
        <v>97.1270904541016</v>
      </c>
      <c r="J230" s="30">
        <v>97.1270904541016</v>
      </c>
      <c r="K230" s="30">
        <v>97.1270904541016</v>
      </c>
      <c r="L230" s="30">
        <v>97.5999984741211</v>
      </c>
    </row>
    <row r="231" ht="14.25" customHeight="1">
      <c r="A231" s="30" t="s">
        <v>457</v>
      </c>
      <c r="B231" s="30" t="s">
        <v>458</v>
      </c>
      <c r="C231" s="30">
        <v>93.5204467773438</v>
      </c>
      <c r="D231" s="30">
        <v>93.5204467773438</v>
      </c>
      <c r="E231" s="30">
        <v>93.5204467773438</v>
      </c>
      <c r="F231" s="30">
        <v>93.5204467773438</v>
      </c>
      <c r="G231" s="30">
        <v>93.5204467773438</v>
      </c>
      <c r="H231" s="30">
        <v>93.5204467773438</v>
      </c>
      <c r="I231" s="30">
        <v>95.7538681030273</v>
      </c>
      <c r="J231" s="30">
        <v>95.7538681030273</v>
      </c>
      <c r="K231" s="30">
        <v>95.7538681030273</v>
      </c>
      <c r="L231" s="30">
        <v>96.1332626342773</v>
      </c>
    </row>
    <row r="232" ht="14.25" customHeight="1">
      <c r="A232" s="30" t="s">
        <v>459</v>
      </c>
      <c r="B232" s="30" t="s">
        <v>460</v>
      </c>
      <c r="C232" s="30"/>
      <c r="D232" s="30"/>
      <c r="E232" s="30"/>
      <c r="F232" s="30"/>
      <c r="G232" s="30"/>
      <c r="H232" s="30"/>
      <c r="I232" s="30"/>
      <c r="J232" s="30"/>
      <c r="K232" s="30"/>
      <c r="L232" s="30"/>
    </row>
    <row r="233" ht="14.25" customHeight="1">
      <c r="A233" s="30" t="s">
        <v>461</v>
      </c>
      <c r="B233" s="30" t="s">
        <v>462</v>
      </c>
      <c r="C233" s="30"/>
      <c r="D233" s="30"/>
      <c r="E233" s="30"/>
      <c r="F233" s="30"/>
      <c r="G233" s="30"/>
      <c r="H233" s="30"/>
      <c r="I233" s="30"/>
      <c r="J233" s="30"/>
      <c r="K233" s="30"/>
      <c r="L233" s="30"/>
    </row>
    <row r="234" ht="14.25" customHeight="1">
      <c r="A234" s="30" t="s">
        <v>463</v>
      </c>
      <c r="B234" s="30" t="s">
        <v>464</v>
      </c>
      <c r="C234" s="30">
        <v>54.0999984741211</v>
      </c>
      <c r="D234" s="30">
        <v>54.0999984741211</v>
      </c>
      <c r="E234" s="30"/>
      <c r="F234" s="30"/>
      <c r="G234" s="30"/>
      <c r="H234" s="30"/>
      <c r="I234" s="30"/>
      <c r="J234" s="30"/>
      <c r="K234" s="30"/>
      <c r="L234" s="30"/>
    </row>
    <row r="235" ht="14.25" customHeight="1">
      <c r="A235" s="30" t="s">
        <v>465</v>
      </c>
      <c r="B235" s="30" t="s">
        <v>466</v>
      </c>
      <c r="C235" s="30">
        <v>83.0076675415039</v>
      </c>
      <c r="D235" s="30">
        <v>83.0076675415039</v>
      </c>
      <c r="E235" s="30">
        <v>83.0076675415039</v>
      </c>
      <c r="F235" s="30">
        <v>83.0076675415039</v>
      </c>
      <c r="G235" s="30">
        <v>83.0076675415039</v>
      </c>
      <c r="H235" s="30">
        <v>83.0076675415039</v>
      </c>
      <c r="I235" s="30">
        <v>83.0076675415039</v>
      </c>
      <c r="J235" s="30">
        <v>87.5</v>
      </c>
      <c r="K235" s="30">
        <v>87.5</v>
      </c>
      <c r="L235" s="30">
        <v>87.5</v>
      </c>
    </row>
    <row r="236" ht="14.25" customHeight="1">
      <c r="A236" s="30" t="s">
        <v>467</v>
      </c>
      <c r="B236" s="30" t="s">
        <v>468</v>
      </c>
      <c r="C236" s="30">
        <v>83.5827102661133</v>
      </c>
      <c r="D236" s="30">
        <v>88.6934204101562</v>
      </c>
      <c r="E236" s="30">
        <v>88.6934204101562</v>
      </c>
      <c r="F236" s="30">
        <v>88.6934204101562</v>
      </c>
      <c r="G236" s="30">
        <v>88.6934204101562</v>
      </c>
      <c r="H236" s="30">
        <v>88.6934204101562</v>
      </c>
      <c r="I236" s="30">
        <v>88.6934204101562</v>
      </c>
      <c r="J236" s="30">
        <v>88.6934204101562</v>
      </c>
      <c r="K236" s="30">
        <v>88.6934204101562</v>
      </c>
      <c r="L236" s="30">
        <v>89.8499984741211</v>
      </c>
    </row>
    <row r="237" ht="14.2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</row>
    <row r="238" ht="14.2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</row>
    <row r="239" ht="14.2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</row>
    <row r="240" ht="14.25" customHeight="1">
      <c r="A240" s="11" t="s">
        <v>499</v>
      </c>
      <c r="C240" s="11">
        <v>142.0</v>
      </c>
      <c r="D240" s="11">
        <v>146.0</v>
      </c>
      <c r="E240" s="11">
        <v>145.0</v>
      </c>
      <c r="F240" s="11">
        <v>144.0</v>
      </c>
      <c r="G240" s="11">
        <v>143.0</v>
      </c>
      <c r="H240" s="11">
        <v>143.0</v>
      </c>
      <c r="I240" s="11">
        <v>144.0</v>
      </c>
      <c r="J240" s="11">
        <v>143.0</v>
      </c>
      <c r="K240" s="11">
        <v>143.0</v>
      </c>
      <c r="L240" s="11">
        <v>144.0</v>
      </c>
    </row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1:L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1.0"/>
    <col customWidth="1" min="2" max="2" width="12.0"/>
    <col customWidth="1" min="3" max="4" width="7.63"/>
    <col customWidth="1" min="5" max="11" width="6.5"/>
    <col customWidth="1" min="12" max="26" width="8.63"/>
  </cols>
  <sheetData>
    <row r="1" ht="14.25" customHeight="1">
      <c r="C1" s="37" t="s">
        <v>500</v>
      </c>
      <c r="D1" s="3"/>
      <c r="E1" s="3"/>
      <c r="F1" s="3"/>
      <c r="G1" s="3"/>
      <c r="H1" s="3"/>
      <c r="I1" s="3"/>
      <c r="J1" s="3"/>
      <c r="K1" s="4"/>
    </row>
    <row r="2" ht="14.25" customHeight="1">
      <c r="A2" s="38" t="s">
        <v>1</v>
      </c>
      <c r="B2" s="38" t="s">
        <v>501</v>
      </c>
      <c r="C2" s="39">
        <v>2013.0</v>
      </c>
      <c r="D2" s="39">
        <v>2014.0</v>
      </c>
      <c r="E2" s="39">
        <v>2015.0</v>
      </c>
      <c r="F2" s="39">
        <v>2016.0</v>
      </c>
      <c r="G2" s="39">
        <v>2017.0</v>
      </c>
      <c r="H2" s="39">
        <v>2018.0</v>
      </c>
      <c r="I2" s="39">
        <v>2020.0</v>
      </c>
      <c r="J2" s="39">
        <v>2021.0</v>
      </c>
      <c r="K2" s="39">
        <v>2022.0</v>
      </c>
    </row>
    <row r="3" ht="14.25" customHeight="1">
      <c r="A3" s="11" t="s">
        <v>3</v>
      </c>
      <c r="B3" s="11" t="s">
        <v>4</v>
      </c>
      <c r="C3" s="11" t="s">
        <v>502</v>
      </c>
      <c r="D3" s="11" t="s">
        <v>502</v>
      </c>
      <c r="E3" s="11" t="s">
        <v>502</v>
      </c>
      <c r="F3" s="11" t="s">
        <v>502</v>
      </c>
      <c r="G3" s="11" t="s">
        <v>502</v>
      </c>
      <c r="H3" s="11" t="s">
        <v>502</v>
      </c>
      <c r="I3" s="11" t="s">
        <v>502</v>
      </c>
      <c r="J3" s="11">
        <v>0.95</v>
      </c>
      <c r="K3" s="11">
        <v>0.95</v>
      </c>
    </row>
    <row r="4" ht="14.25" customHeight="1">
      <c r="A4" s="11" t="s">
        <v>5</v>
      </c>
      <c r="B4" s="11" t="s">
        <v>6</v>
      </c>
      <c r="C4" s="11">
        <v>0.93</v>
      </c>
      <c r="D4" s="11">
        <v>0.94</v>
      </c>
      <c r="E4" s="11">
        <v>0.95</v>
      </c>
      <c r="F4" s="11">
        <v>0.95</v>
      </c>
      <c r="G4" s="11">
        <v>0.97</v>
      </c>
      <c r="H4" s="11">
        <v>0.96</v>
      </c>
      <c r="I4" s="11">
        <v>0.96</v>
      </c>
      <c r="J4" s="11">
        <v>0.96</v>
      </c>
      <c r="K4" s="11">
        <v>0.96</v>
      </c>
    </row>
    <row r="5" ht="14.25" customHeight="1">
      <c r="A5" s="11" t="s">
        <v>7</v>
      </c>
      <c r="B5" s="11" t="s">
        <v>8</v>
      </c>
      <c r="C5" s="11">
        <v>0.97</v>
      </c>
      <c r="D5" s="11">
        <v>0.97</v>
      </c>
      <c r="E5" s="11">
        <v>0.97</v>
      </c>
      <c r="F5" s="11">
        <v>0.97</v>
      </c>
      <c r="G5" s="11">
        <v>0.97</v>
      </c>
      <c r="H5" s="11">
        <v>0.96</v>
      </c>
      <c r="I5" s="11">
        <v>0.96</v>
      </c>
      <c r="J5" s="11">
        <v>0.96</v>
      </c>
      <c r="K5" s="11">
        <v>0.96</v>
      </c>
    </row>
    <row r="6" ht="14.25" customHeight="1">
      <c r="A6" s="11" t="s">
        <v>9</v>
      </c>
      <c r="B6" s="11" t="s">
        <v>10</v>
      </c>
    </row>
    <row r="7" ht="14.25" customHeight="1">
      <c r="A7" s="11" t="s">
        <v>11</v>
      </c>
      <c r="B7" s="11" t="s">
        <v>12</v>
      </c>
    </row>
    <row r="8" ht="14.25" customHeight="1">
      <c r="A8" s="11" t="s">
        <v>13</v>
      </c>
      <c r="B8" s="11" t="s">
        <v>14</v>
      </c>
      <c r="C8" s="11">
        <v>0.98</v>
      </c>
      <c r="D8" s="11">
        <v>0.98</v>
      </c>
      <c r="E8" s="11">
        <v>0.98</v>
      </c>
      <c r="F8" s="11">
        <v>0.98</v>
      </c>
      <c r="G8" s="11">
        <v>0.98</v>
      </c>
      <c r="H8" s="11">
        <v>0.98</v>
      </c>
      <c r="I8" s="11">
        <v>0.98</v>
      </c>
      <c r="J8" s="11">
        <v>0.98</v>
      </c>
      <c r="K8" s="11">
        <v>0.98</v>
      </c>
    </row>
    <row r="9" ht="14.25" customHeight="1">
      <c r="A9" s="11" t="s">
        <v>15</v>
      </c>
      <c r="B9" s="11" t="s">
        <v>16</v>
      </c>
    </row>
    <row r="10" ht="14.25" customHeight="1">
      <c r="A10" s="11" t="s">
        <v>17</v>
      </c>
      <c r="B10" s="11" t="s">
        <v>18</v>
      </c>
    </row>
    <row r="11" ht="14.25" customHeight="1">
      <c r="A11" s="11" t="s">
        <v>19</v>
      </c>
      <c r="B11" s="11" t="s">
        <v>20</v>
      </c>
      <c r="C11" s="11">
        <v>0.98</v>
      </c>
      <c r="D11" s="11">
        <v>0.98</v>
      </c>
      <c r="E11" s="11">
        <v>0.98</v>
      </c>
      <c r="F11" s="11">
        <v>0.98</v>
      </c>
      <c r="G11" s="11">
        <v>0.98</v>
      </c>
      <c r="H11" s="11">
        <v>0.98</v>
      </c>
      <c r="I11" s="11">
        <v>0.98</v>
      </c>
      <c r="J11" s="11">
        <v>0.98</v>
      </c>
      <c r="K11" s="11">
        <v>0.98</v>
      </c>
    </row>
    <row r="12" ht="14.25" customHeight="1">
      <c r="A12" s="11" t="s">
        <v>21</v>
      </c>
      <c r="B12" s="11" t="s">
        <v>22</v>
      </c>
      <c r="C12" s="11">
        <v>0.95</v>
      </c>
      <c r="D12" s="11">
        <v>0.93</v>
      </c>
      <c r="E12" s="11">
        <v>0.94</v>
      </c>
      <c r="F12" s="11">
        <v>0.94</v>
      </c>
      <c r="G12" s="11">
        <v>0.94</v>
      </c>
      <c r="H12" s="11">
        <v>0.94</v>
      </c>
      <c r="I12" s="11">
        <v>0.95</v>
      </c>
      <c r="J12" s="11">
        <v>0.95</v>
      </c>
      <c r="K12" s="11">
        <v>0.95</v>
      </c>
    </row>
    <row r="13" ht="14.25" customHeight="1">
      <c r="A13" s="11" t="s">
        <v>23</v>
      </c>
      <c r="B13" s="11" t="s">
        <v>24</v>
      </c>
    </row>
    <row r="14" ht="14.25" customHeight="1">
      <c r="A14" s="11" t="s">
        <v>25</v>
      </c>
      <c r="B14" s="11" t="s">
        <v>26</v>
      </c>
      <c r="C14" s="11">
        <v>0.97</v>
      </c>
      <c r="D14" s="11">
        <v>0.97</v>
      </c>
      <c r="E14" s="11">
        <v>0.97</v>
      </c>
      <c r="F14" s="11">
        <v>0.97</v>
      </c>
      <c r="G14" s="11">
        <v>0.97</v>
      </c>
      <c r="H14" s="11">
        <v>0.97</v>
      </c>
      <c r="I14" s="11">
        <v>0.97</v>
      </c>
      <c r="J14" s="11">
        <v>0.97</v>
      </c>
      <c r="K14" s="11">
        <v>0.97</v>
      </c>
    </row>
    <row r="15" ht="14.25" customHeight="1">
      <c r="A15" s="11" t="s">
        <v>27</v>
      </c>
      <c r="B15" s="11" t="s">
        <v>28</v>
      </c>
      <c r="C15" s="11">
        <v>0.98</v>
      </c>
      <c r="D15" s="11">
        <v>0.98</v>
      </c>
      <c r="E15" s="11">
        <v>0.98</v>
      </c>
      <c r="F15" s="11">
        <v>0.98</v>
      </c>
      <c r="G15" s="11">
        <v>0.98</v>
      </c>
      <c r="H15" s="11">
        <v>0.97</v>
      </c>
      <c r="I15" s="11">
        <v>0.97</v>
      </c>
      <c r="J15" s="11">
        <v>0.97</v>
      </c>
      <c r="K15" s="11">
        <v>0.97</v>
      </c>
    </row>
    <row r="16" ht="14.25" customHeight="1">
      <c r="A16" s="11" t="s">
        <v>29</v>
      </c>
      <c r="B16" s="11" t="s">
        <v>30</v>
      </c>
      <c r="C16" s="11">
        <v>0.93</v>
      </c>
      <c r="D16" s="11">
        <v>0.94</v>
      </c>
      <c r="E16" s="11">
        <v>0.95</v>
      </c>
      <c r="F16" s="11">
        <v>0.95</v>
      </c>
      <c r="G16" s="11">
        <v>0.94</v>
      </c>
      <c r="H16" s="11">
        <v>0.94</v>
      </c>
      <c r="I16" s="11">
        <v>0.94</v>
      </c>
      <c r="J16" s="11">
        <v>0.94</v>
      </c>
      <c r="K16" s="11">
        <v>0.94</v>
      </c>
    </row>
    <row r="17" ht="14.25" customHeight="1">
      <c r="A17" s="11" t="s">
        <v>31</v>
      </c>
      <c r="B17" s="11" t="s">
        <v>32</v>
      </c>
      <c r="C17" s="11">
        <v>0.98</v>
      </c>
      <c r="D17" s="11">
        <v>0.98</v>
      </c>
      <c r="E17" s="11">
        <v>0.98</v>
      </c>
      <c r="F17" s="11">
        <v>0.98</v>
      </c>
      <c r="G17" s="11">
        <v>0.98</v>
      </c>
      <c r="H17" s="11">
        <v>0.98</v>
      </c>
      <c r="I17" s="11">
        <v>0.98</v>
      </c>
      <c r="J17" s="11">
        <v>0.98</v>
      </c>
      <c r="K17" s="11" t="s">
        <v>502</v>
      </c>
    </row>
    <row r="18" ht="14.25" customHeight="1">
      <c r="A18" s="11" t="s">
        <v>33</v>
      </c>
      <c r="B18" s="11" t="s">
        <v>34</v>
      </c>
      <c r="C18" s="11">
        <v>0.96</v>
      </c>
      <c r="D18" s="11">
        <v>0.96</v>
      </c>
      <c r="E18" s="11">
        <v>0.96</v>
      </c>
      <c r="F18" s="11">
        <v>0.96</v>
      </c>
      <c r="G18" s="11">
        <v>0.96</v>
      </c>
      <c r="H18" s="11">
        <v>0.96</v>
      </c>
      <c r="I18" s="11">
        <v>0.96</v>
      </c>
      <c r="J18" s="11">
        <v>0.96</v>
      </c>
      <c r="K18" s="11">
        <v>0.96</v>
      </c>
    </row>
    <row r="19" ht="14.25" customHeight="1">
      <c r="A19" s="11" t="s">
        <v>35</v>
      </c>
      <c r="B19" s="11" t="s">
        <v>36</v>
      </c>
      <c r="C19" s="11">
        <v>0.96</v>
      </c>
      <c r="D19" s="11">
        <v>0.97</v>
      </c>
      <c r="E19" s="11">
        <v>0.97</v>
      </c>
      <c r="F19" s="11">
        <v>0.97</v>
      </c>
      <c r="G19" s="11">
        <v>0.97</v>
      </c>
      <c r="H19" s="11">
        <v>0.97</v>
      </c>
      <c r="I19" s="11">
        <v>0.97</v>
      </c>
      <c r="J19" s="11">
        <v>0.96</v>
      </c>
      <c r="K19" s="11">
        <v>0.96</v>
      </c>
    </row>
    <row r="20" ht="14.25" customHeight="1">
      <c r="A20" s="11" t="s">
        <v>37</v>
      </c>
      <c r="B20" s="11" t="s">
        <v>38</v>
      </c>
      <c r="C20" s="11">
        <v>0.98</v>
      </c>
      <c r="D20" s="11">
        <v>0.98</v>
      </c>
      <c r="E20" s="11">
        <v>0.98</v>
      </c>
      <c r="F20" s="11">
        <v>0.98</v>
      </c>
      <c r="G20" s="11">
        <v>0.97</v>
      </c>
      <c r="H20" s="11">
        <v>0.98</v>
      </c>
      <c r="I20" s="11">
        <v>0.98</v>
      </c>
      <c r="J20" s="11">
        <v>0.97</v>
      </c>
      <c r="K20" s="11">
        <v>0.97</v>
      </c>
    </row>
    <row r="21" ht="14.25" customHeight="1">
      <c r="A21" s="11" t="s">
        <v>39</v>
      </c>
      <c r="B21" s="11" t="s">
        <v>40</v>
      </c>
      <c r="C21" s="11" t="s">
        <v>502</v>
      </c>
      <c r="D21" s="11">
        <v>0.98</v>
      </c>
      <c r="E21" s="11">
        <v>0.98</v>
      </c>
      <c r="F21" s="11">
        <v>0.98</v>
      </c>
      <c r="G21" s="11">
        <v>0.98</v>
      </c>
      <c r="H21" s="11">
        <v>0.98</v>
      </c>
      <c r="I21" s="11">
        <v>0.98</v>
      </c>
      <c r="J21" s="11">
        <v>0.98</v>
      </c>
      <c r="K21" s="11">
        <v>0.98</v>
      </c>
    </row>
    <row r="22" ht="14.25" customHeight="1">
      <c r="A22" s="11" t="s">
        <v>41</v>
      </c>
      <c r="B22" s="11" t="s">
        <v>42</v>
      </c>
      <c r="C22" s="11">
        <v>0.98</v>
      </c>
      <c r="D22" s="11">
        <v>0.98</v>
      </c>
      <c r="E22" s="11">
        <v>0.97</v>
      </c>
      <c r="F22" s="11">
        <v>0.97</v>
      </c>
      <c r="G22" s="11">
        <v>0.98</v>
      </c>
      <c r="H22" s="11">
        <v>0.97</v>
      </c>
      <c r="I22" s="11">
        <v>0.97</v>
      </c>
      <c r="J22" s="11">
        <v>0.97</v>
      </c>
      <c r="K22" s="11">
        <v>0.97</v>
      </c>
    </row>
    <row r="23" ht="14.25" customHeight="1">
      <c r="A23" s="11" t="s">
        <v>43</v>
      </c>
      <c r="B23" s="11" t="s">
        <v>44</v>
      </c>
      <c r="C23" s="11">
        <v>0.98</v>
      </c>
      <c r="D23" s="11">
        <v>0.98</v>
      </c>
      <c r="E23" s="11">
        <v>0.98</v>
      </c>
      <c r="F23" s="11">
        <v>0.98</v>
      </c>
      <c r="G23" s="11">
        <v>0.98</v>
      </c>
      <c r="H23" s="11">
        <v>0.98</v>
      </c>
      <c r="I23" s="11">
        <v>0.98</v>
      </c>
      <c r="J23" s="11">
        <v>0.98</v>
      </c>
      <c r="K23" s="11">
        <v>0.98</v>
      </c>
    </row>
    <row r="24" ht="14.25" customHeight="1">
      <c r="A24" s="11" t="s">
        <v>45</v>
      </c>
      <c r="B24" s="11" t="s">
        <v>46</v>
      </c>
      <c r="C24" s="11">
        <v>0.96</v>
      </c>
      <c r="D24" s="11" t="s">
        <v>502</v>
      </c>
      <c r="E24" s="11">
        <v>0.97</v>
      </c>
      <c r="F24" s="11">
        <v>0.97</v>
      </c>
      <c r="G24" s="11">
        <v>0.96</v>
      </c>
      <c r="H24" s="11">
        <v>0.97</v>
      </c>
      <c r="I24" s="11">
        <v>0.97</v>
      </c>
      <c r="J24" s="11">
        <v>0.97</v>
      </c>
      <c r="K24" s="11">
        <v>0.97</v>
      </c>
    </row>
    <row r="25" ht="14.25" customHeight="1">
      <c r="A25" s="11" t="s">
        <v>47</v>
      </c>
      <c r="B25" s="11" t="s">
        <v>48</v>
      </c>
    </row>
    <row r="26" ht="14.25" customHeight="1">
      <c r="A26" s="11" t="s">
        <v>49</v>
      </c>
      <c r="B26" s="11" t="s">
        <v>50</v>
      </c>
      <c r="C26" s="11">
        <v>0.97</v>
      </c>
      <c r="D26" s="11">
        <v>0.97</v>
      </c>
      <c r="E26" s="11">
        <v>0.97</v>
      </c>
      <c r="F26" s="11">
        <v>0.97</v>
      </c>
      <c r="G26" s="11">
        <v>0.96</v>
      </c>
      <c r="H26" s="11">
        <v>0.96</v>
      </c>
      <c r="I26" s="11">
        <v>0.96</v>
      </c>
      <c r="J26" s="11">
        <v>0.96</v>
      </c>
      <c r="K26" s="11">
        <v>0.96</v>
      </c>
    </row>
    <row r="27" ht="14.25" customHeight="1">
      <c r="A27" s="11" t="s">
        <v>51</v>
      </c>
      <c r="B27" s="11" t="s">
        <v>52</v>
      </c>
      <c r="C27" s="11">
        <v>0.97</v>
      </c>
      <c r="D27" s="11">
        <v>0.98</v>
      </c>
      <c r="E27" s="11">
        <v>0.98</v>
      </c>
      <c r="F27" s="11">
        <v>0.98</v>
      </c>
      <c r="G27" s="11">
        <v>0.98</v>
      </c>
      <c r="H27" s="11">
        <v>0.98</v>
      </c>
      <c r="I27" s="11">
        <v>0.98</v>
      </c>
      <c r="J27" s="11">
        <v>0.96</v>
      </c>
      <c r="K27" s="11">
        <v>0.96</v>
      </c>
    </row>
    <row r="28" ht="14.25" customHeight="1">
      <c r="A28" s="11" t="s">
        <v>53</v>
      </c>
      <c r="B28" s="11" t="s">
        <v>54</v>
      </c>
    </row>
    <row r="29" ht="14.25" customHeight="1">
      <c r="A29" s="11" t="s">
        <v>55</v>
      </c>
      <c r="B29" s="11" t="s">
        <v>56</v>
      </c>
      <c r="C29" s="11" t="s">
        <v>502</v>
      </c>
      <c r="D29" s="11" t="s">
        <v>502</v>
      </c>
      <c r="E29" s="11" t="s">
        <v>502</v>
      </c>
      <c r="F29" s="11">
        <v>0.97</v>
      </c>
      <c r="G29" s="11">
        <v>0.98</v>
      </c>
      <c r="H29" s="11">
        <v>0.98</v>
      </c>
      <c r="I29" s="11">
        <v>0.98</v>
      </c>
      <c r="J29" s="11">
        <v>0.97</v>
      </c>
      <c r="K29" s="11">
        <v>0.98</v>
      </c>
    </row>
    <row r="30" ht="14.25" customHeight="1">
      <c r="A30" s="11" t="s">
        <v>57</v>
      </c>
      <c r="B30" s="11" t="s">
        <v>58</v>
      </c>
      <c r="C30" s="11">
        <v>0.95</v>
      </c>
      <c r="D30" s="11">
        <v>0.97</v>
      </c>
      <c r="E30" s="11">
        <v>0.97</v>
      </c>
      <c r="F30" s="11">
        <v>0.97</v>
      </c>
      <c r="G30" s="11">
        <v>0.98</v>
      </c>
      <c r="H30" s="11">
        <v>0.98</v>
      </c>
      <c r="I30" s="11">
        <v>0.98</v>
      </c>
      <c r="J30" s="11">
        <v>0.98</v>
      </c>
      <c r="K30" s="11">
        <v>0.98</v>
      </c>
    </row>
    <row r="31" ht="14.25" customHeight="1">
      <c r="A31" s="11" t="s">
        <v>59</v>
      </c>
      <c r="B31" s="11" t="s">
        <v>60</v>
      </c>
      <c r="C31" s="11">
        <v>0.98</v>
      </c>
      <c r="D31" s="11">
        <v>0.98</v>
      </c>
      <c r="E31" s="11">
        <v>0.98</v>
      </c>
      <c r="F31" s="11">
        <v>0.98</v>
      </c>
      <c r="G31" s="11">
        <v>0.98</v>
      </c>
      <c r="H31" s="11">
        <v>0.98</v>
      </c>
      <c r="I31" s="11">
        <v>0.98</v>
      </c>
      <c r="J31" s="11">
        <v>0.98</v>
      </c>
      <c r="K31" s="11">
        <v>0.98</v>
      </c>
    </row>
    <row r="32" ht="14.25" customHeight="1">
      <c r="A32" s="11" t="s">
        <v>61</v>
      </c>
      <c r="B32" s="11" t="s">
        <v>62</v>
      </c>
    </row>
    <row r="33" ht="14.25" customHeight="1">
      <c r="A33" s="11" t="s">
        <v>63</v>
      </c>
      <c r="B33" s="11" t="s">
        <v>64</v>
      </c>
      <c r="C33" s="11">
        <v>0.97</v>
      </c>
      <c r="D33" s="11">
        <v>0.97</v>
      </c>
      <c r="E33" s="11">
        <v>0.97</v>
      </c>
      <c r="F33" s="11">
        <v>0.97</v>
      </c>
      <c r="G33" s="11">
        <v>0.97</v>
      </c>
      <c r="H33" s="11">
        <v>0.97</v>
      </c>
      <c r="I33" s="11">
        <v>0.97</v>
      </c>
      <c r="J33" s="11">
        <v>0.96</v>
      </c>
      <c r="K33" s="11">
        <v>0.97</v>
      </c>
    </row>
    <row r="34" ht="14.25" customHeight="1">
      <c r="A34" s="11" t="s">
        <v>65</v>
      </c>
      <c r="B34" s="11" t="s">
        <v>66</v>
      </c>
      <c r="C34" s="11">
        <v>0.98</v>
      </c>
      <c r="D34" s="11">
        <v>0.98</v>
      </c>
      <c r="E34" s="11">
        <v>0.98</v>
      </c>
      <c r="F34" s="11">
        <v>0.98</v>
      </c>
      <c r="G34" s="11">
        <v>0.98</v>
      </c>
      <c r="H34" s="11">
        <v>0.98</v>
      </c>
      <c r="I34" s="11">
        <v>0.98</v>
      </c>
      <c r="J34" s="11">
        <v>0.98</v>
      </c>
      <c r="K34" s="11">
        <v>0.98</v>
      </c>
    </row>
    <row r="35" ht="14.25" customHeight="1">
      <c r="A35" s="11" t="s">
        <v>67</v>
      </c>
      <c r="B35" s="11" t="s">
        <v>68</v>
      </c>
      <c r="C35" s="11">
        <v>0.97</v>
      </c>
      <c r="D35" s="11">
        <v>0.97</v>
      </c>
      <c r="E35" s="11">
        <v>0.97</v>
      </c>
      <c r="F35" s="11">
        <v>0.97</v>
      </c>
      <c r="G35" s="11">
        <v>0.96</v>
      </c>
      <c r="H35" s="11">
        <v>0.96</v>
      </c>
      <c r="I35" s="11">
        <v>0.96</v>
      </c>
      <c r="J35" s="11">
        <v>0.98</v>
      </c>
      <c r="K35" s="11">
        <v>0.98</v>
      </c>
    </row>
    <row r="36" ht="14.25" customHeight="1">
      <c r="A36" s="11" t="s">
        <v>69</v>
      </c>
      <c r="B36" s="11" t="s">
        <v>70</v>
      </c>
      <c r="C36" s="11">
        <v>0.97</v>
      </c>
      <c r="D36" s="11">
        <v>0.98</v>
      </c>
      <c r="E36" s="11">
        <v>0.97</v>
      </c>
      <c r="F36" s="11">
        <v>0.97</v>
      </c>
      <c r="G36" s="11">
        <v>0.98</v>
      </c>
      <c r="H36" s="11">
        <v>0.98</v>
      </c>
      <c r="I36" s="11">
        <v>0.98</v>
      </c>
      <c r="J36" s="11">
        <v>0.98</v>
      </c>
      <c r="K36" s="11">
        <v>0.98</v>
      </c>
    </row>
    <row r="37" ht="14.25" customHeight="1">
      <c r="A37" s="11" t="s">
        <v>71</v>
      </c>
      <c r="B37" s="11" t="s">
        <v>72</v>
      </c>
      <c r="C37" s="11">
        <v>0.98</v>
      </c>
      <c r="D37" s="11">
        <v>0.98</v>
      </c>
      <c r="E37" s="11">
        <v>0.98</v>
      </c>
      <c r="F37" s="11">
        <v>0.98</v>
      </c>
      <c r="G37" s="11">
        <v>0.97</v>
      </c>
      <c r="H37" s="11">
        <v>0.97</v>
      </c>
      <c r="I37" s="11">
        <v>0.97</v>
      </c>
      <c r="J37" s="11">
        <v>0.98</v>
      </c>
      <c r="K37" s="11">
        <v>0.97</v>
      </c>
    </row>
    <row r="38" ht="14.25" customHeight="1">
      <c r="A38" s="11" t="s">
        <v>73</v>
      </c>
      <c r="B38" s="11" t="s">
        <v>74</v>
      </c>
      <c r="C38" s="11">
        <v>0.98</v>
      </c>
      <c r="D38" s="11">
        <v>0.98</v>
      </c>
      <c r="E38" s="11">
        <v>0.98</v>
      </c>
      <c r="F38" s="11">
        <v>0.98</v>
      </c>
      <c r="G38" s="11">
        <v>0.98</v>
      </c>
      <c r="H38" s="11">
        <v>0.98</v>
      </c>
      <c r="I38" s="11">
        <v>0.98</v>
      </c>
      <c r="J38" s="11">
        <v>0.98</v>
      </c>
      <c r="K38" s="11">
        <v>0.98</v>
      </c>
    </row>
    <row r="39" ht="14.25" customHeight="1">
      <c r="A39" s="11" t="s">
        <v>75</v>
      </c>
      <c r="B39" s="11" t="s">
        <v>76</v>
      </c>
      <c r="C39" s="11">
        <v>0.96</v>
      </c>
      <c r="D39" s="11" t="s">
        <v>502</v>
      </c>
      <c r="E39" s="11">
        <v>0.97</v>
      </c>
      <c r="F39" s="11">
        <v>0.97</v>
      </c>
      <c r="G39" s="11">
        <v>0.97</v>
      </c>
      <c r="H39" s="11">
        <v>0.97</v>
      </c>
      <c r="I39" s="11">
        <v>0.97</v>
      </c>
      <c r="J39" s="11">
        <v>0.97</v>
      </c>
      <c r="K39" s="11">
        <v>0.98</v>
      </c>
    </row>
    <row r="40" ht="14.25" customHeight="1">
      <c r="A40" s="11" t="s">
        <v>77</v>
      </c>
      <c r="B40" s="11" t="s">
        <v>78</v>
      </c>
      <c r="C40" s="11">
        <v>0.98</v>
      </c>
      <c r="D40" s="11">
        <v>0.97</v>
      </c>
      <c r="E40" s="11">
        <v>0.97</v>
      </c>
      <c r="F40" s="11">
        <v>0.97</v>
      </c>
      <c r="G40" s="11">
        <v>0.97</v>
      </c>
      <c r="H40" s="11">
        <v>0.97</v>
      </c>
      <c r="I40" s="11">
        <v>0.97</v>
      </c>
      <c r="J40" s="11">
        <v>0.97</v>
      </c>
      <c r="K40" s="11">
        <v>0.97</v>
      </c>
    </row>
    <row r="41" ht="14.25" customHeight="1">
      <c r="A41" s="11" t="s">
        <v>79</v>
      </c>
      <c r="B41" s="11" t="s">
        <v>80</v>
      </c>
    </row>
    <row r="42" ht="14.25" customHeight="1">
      <c r="A42" s="11" t="s">
        <v>81</v>
      </c>
      <c r="B42" s="11" t="s">
        <v>82</v>
      </c>
    </row>
    <row r="43" ht="14.25" customHeight="1">
      <c r="A43" s="11" t="s">
        <v>83</v>
      </c>
      <c r="B43" s="11" t="s">
        <v>84</v>
      </c>
      <c r="C43" s="11">
        <v>0.96</v>
      </c>
      <c r="D43" s="11">
        <v>0.97</v>
      </c>
      <c r="E43" s="11">
        <v>0.97</v>
      </c>
      <c r="F43" s="11">
        <v>0.97</v>
      </c>
      <c r="G43" s="11">
        <v>0.97</v>
      </c>
      <c r="H43" s="11">
        <v>0.97</v>
      </c>
      <c r="I43" s="11">
        <v>0.97</v>
      </c>
      <c r="J43" s="11">
        <v>0.97</v>
      </c>
      <c r="K43" s="11">
        <v>0.97</v>
      </c>
    </row>
    <row r="44" ht="14.25" customHeight="1">
      <c r="A44" s="11" t="s">
        <v>85</v>
      </c>
      <c r="B44" s="11" t="s">
        <v>86</v>
      </c>
      <c r="C44" s="11">
        <v>0.98</v>
      </c>
      <c r="D44" s="11">
        <v>0.98</v>
      </c>
      <c r="E44" s="11">
        <v>0.98</v>
      </c>
      <c r="F44" s="11">
        <v>0.98</v>
      </c>
      <c r="G44" s="11">
        <v>0.98</v>
      </c>
      <c r="H44" s="11">
        <v>0.98</v>
      </c>
      <c r="I44" s="11">
        <v>0.98</v>
      </c>
      <c r="J44" s="11">
        <v>0.97</v>
      </c>
      <c r="K44" s="11">
        <v>0.97</v>
      </c>
    </row>
    <row r="45" ht="14.25" customHeight="1">
      <c r="A45" s="11" t="s">
        <v>471</v>
      </c>
      <c r="B45" s="11" t="s">
        <v>88</v>
      </c>
      <c r="C45" s="11">
        <v>0.94</v>
      </c>
      <c r="D45" s="11">
        <v>0.94</v>
      </c>
      <c r="E45" s="11">
        <v>0.92</v>
      </c>
      <c r="F45" s="11">
        <v>0.92</v>
      </c>
      <c r="G45" s="11">
        <v>0.92</v>
      </c>
      <c r="H45" s="11">
        <v>0.92</v>
      </c>
      <c r="I45" s="11">
        <v>0.93</v>
      </c>
      <c r="J45" s="11">
        <v>0.94</v>
      </c>
      <c r="K45" s="11">
        <v>0.94</v>
      </c>
    </row>
    <row r="46" ht="14.25" customHeight="1">
      <c r="A46" s="11" t="s">
        <v>89</v>
      </c>
      <c r="B46" s="11" t="s">
        <v>90</v>
      </c>
    </row>
    <row r="47" ht="14.25" customHeight="1">
      <c r="A47" s="11" t="s">
        <v>91</v>
      </c>
      <c r="B47" s="11" t="s">
        <v>92</v>
      </c>
    </row>
    <row r="48" ht="14.25" customHeight="1">
      <c r="A48" s="11" t="s">
        <v>472</v>
      </c>
      <c r="B48" s="11" t="s">
        <v>473</v>
      </c>
    </row>
    <row r="49" ht="14.25" customHeight="1">
      <c r="A49" s="11" t="s">
        <v>93</v>
      </c>
      <c r="B49" s="11" t="s">
        <v>94</v>
      </c>
      <c r="C49" s="11">
        <v>0.98</v>
      </c>
      <c r="D49" s="11">
        <v>0.98</v>
      </c>
      <c r="E49" s="11">
        <v>0.98</v>
      </c>
      <c r="F49" s="11">
        <v>0.98</v>
      </c>
      <c r="G49" s="11">
        <v>0.98</v>
      </c>
      <c r="H49" s="11">
        <v>0.98</v>
      </c>
      <c r="I49" s="11">
        <v>0.98</v>
      </c>
      <c r="J49" s="11">
        <v>0.98</v>
      </c>
      <c r="K49" s="11">
        <v>0.98</v>
      </c>
    </row>
    <row r="50" ht="14.25" customHeight="1">
      <c r="A50" s="11" t="s">
        <v>95</v>
      </c>
      <c r="B50" s="11" t="s">
        <v>96</v>
      </c>
      <c r="C50" s="11" t="s">
        <v>502</v>
      </c>
      <c r="D50" s="11" t="s">
        <v>502</v>
      </c>
      <c r="E50" s="11" t="s">
        <v>502</v>
      </c>
      <c r="F50" s="11" t="s">
        <v>502</v>
      </c>
      <c r="G50" s="11" t="s">
        <v>502</v>
      </c>
      <c r="H50" s="11" t="s">
        <v>502</v>
      </c>
      <c r="I50" s="11" t="s">
        <v>502</v>
      </c>
      <c r="J50" s="11" t="s">
        <v>502</v>
      </c>
      <c r="K50" s="11">
        <v>0.97</v>
      </c>
    </row>
    <row r="51" ht="14.25" customHeight="1">
      <c r="A51" s="11" t="s">
        <v>97</v>
      </c>
      <c r="B51" s="11" t="s">
        <v>98</v>
      </c>
    </row>
    <row r="52" ht="14.25" customHeight="1">
      <c r="A52" s="11" t="s">
        <v>99</v>
      </c>
      <c r="B52" s="11" t="s">
        <v>100</v>
      </c>
    </row>
    <row r="53" ht="14.25" customHeight="1">
      <c r="A53" s="11" t="s">
        <v>101</v>
      </c>
      <c r="B53" s="11" t="s">
        <v>102</v>
      </c>
      <c r="C53" s="11">
        <v>0.97</v>
      </c>
      <c r="D53" s="11">
        <v>0.97</v>
      </c>
      <c r="E53" s="11">
        <v>0.98</v>
      </c>
      <c r="F53" s="11">
        <v>0.98</v>
      </c>
      <c r="G53" s="11">
        <v>0.97</v>
      </c>
      <c r="H53" s="11">
        <v>0.98</v>
      </c>
      <c r="I53" s="11">
        <v>0.98</v>
      </c>
      <c r="J53" s="11">
        <v>0.97</v>
      </c>
      <c r="K53" s="11">
        <v>0.97</v>
      </c>
    </row>
    <row r="54" ht="14.25" customHeight="1">
      <c r="A54" s="11" t="s">
        <v>103</v>
      </c>
      <c r="B54" s="11" t="s">
        <v>104</v>
      </c>
      <c r="C54" s="11">
        <v>0.98</v>
      </c>
      <c r="D54" s="11">
        <v>0.97</v>
      </c>
      <c r="E54" s="11">
        <v>0.97</v>
      </c>
      <c r="F54" s="11">
        <v>0.97</v>
      </c>
      <c r="G54" s="11">
        <v>0.97</v>
      </c>
      <c r="H54" s="11">
        <v>0.97</v>
      </c>
      <c r="I54" s="11">
        <v>0.97</v>
      </c>
      <c r="J54" s="11">
        <v>0.98</v>
      </c>
      <c r="K54" s="11">
        <v>0.96</v>
      </c>
    </row>
    <row r="55" ht="14.25" customHeight="1">
      <c r="A55" s="11" t="s">
        <v>105</v>
      </c>
      <c r="B55" s="11" t="s">
        <v>106</v>
      </c>
      <c r="C55" s="11">
        <v>0.98</v>
      </c>
      <c r="D55" s="11">
        <v>0.98</v>
      </c>
      <c r="E55" s="11">
        <v>0.98</v>
      </c>
      <c r="F55" s="11">
        <v>0.98</v>
      </c>
      <c r="G55" s="11">
        <v>0.98</v>
      </c>
      <c r="H55" s="11">
        <v>0.98</v>
      </c>
      <c r="I55" s="11">
        <v>0.98</v>
      </c>
      <c r="J55" s="11">
        <v>0.98</v>
      </c>
      <c r="K55" s="11" t="s">
        <v>502</v>
      </c>
    </row>
    <row r="56" ht="14.25" customHeight="1">
      <c r="A56" s="11" t="s">
        <v>107</v>
      </c>
      <c r="B56" s="11" t="s">
        <v>108</v>
      </c>
      <c r="C56" s="11">
        <v>0.97</v>
      </c>
      <c r="D56" s="11">
        <v>0.98</v>
      </c>
      <c r="E56" s="11">
        <v>0.98</v>
      </c>
      <c r="F56" s="11">
        <v>0.98</v>
      </c>
      <c r="G56" s="11">
        <v>0.97</v>
      </c>
      <c r="H56" s="11">
        <v>0.98</v>
      </c>
      <c r="I56" s="11">
        <v>0.98</v>
      </c>
      <c r="J56" s="11">
        <v>0.97</v>
      </c>
      <c r="K56" s="11" t="s">
        <v>502</v>
      </c>
    </row>
    <row r="57" ht="14.25" customHeight="1">
      <c r="A57" s="11" t="s">
        <v>109</v>
      </c>
      <c r="B57" s="11" t="s">
        <v>110</v>
      </c>
    </row>
    <row r="58" ht="14.25" customHeight="1">
      <c r="A58" s="11" t="s">
        <v>111</v>
      </c>
      <c r="B58" s="11" t="s">
        <v>112</v>
      </c>
      <c r="C58" s="11">
        <v>0.97</v>
      </c>
      <c r="D58" s="11">
        <v>0.97</v>
      </c>
      <c r="E58" s="11">
        <v>0.97</v>
      </c>
      <c r="F58" s="11">
        <v>0.97</v>
      </c>
      <c r="G58" s="11">
        <v>0.97</v>
      </c>
      <c r="H58" s="11">
        <v>0.97</v>
      </c>
      <c r="I58" s="11">
        <v>0.97</v>
      </c>
      <c r="J58" s="11">
        <v>0.96</v>
      </c>
      <c r="K58" s="11">
        <v>0.98</v>
      </c>
    </row>
    <row r="59" ht="14.25" customHeight="1">
      <c r="A59" s="11" t="s">
        <v>113</v>
      </c>
      <c r="B59" s="11" t="s">
        <v>114</v>
      </c>
      <c r="C59" s="11">
        <v>0.98</v>
      </c>
      <c r="D59" s="11">
        <v>0.98</v>
      </c>
      <c r="E59" s="11">
        <v>0.98</v>
      </c>
      <c r="F59" s="11">
        <v>0.98</v>
      </c>
      <c r="G59" s="11">
        <v>0.98</v>
      </c>
      <c r="H59" s="11">
        <v>0.98</v>
      </c>
      <c r="I59" s="11">
        <v>0.98</v>
      </c>
      <c r="J59" s="11">
        <v>0.98</v>
      </c>
      <c r="K59" s="11">
        <v>0.98</v>
      </c>
    </row>
    <row r="60" ht="14.25" customHeight="1">
      <c r="A60" s="11" t="s">
        <v>115</v>
      </c>
      <c r="B60" s="11" t="s">
        <v>116</v>
      </c>
    </row>
    <row r="61" ht="14.25" customHeight="1">
      <c r="A61" s="11" t="s">
        <v>117</v>
      </c>
      <c r="B61" s="11" t="s">
        <v>118</v>
      </c>
      <c r="C61" s="11" t="s">
        <v>502</v>
      </c>
      <c r="D61" s="11" t="s">
        <v>502</v>
      </c>
      <c r="E61" s="11" t="s">
        <v>502</v>
      </c>
      <c r="F61" s="11" t="s">
        <v>502</v>
      </c>
      <c r="G61" s="11" t="s">
        <v>502</v>
      </c>
      <c r="H61" s="11">
        <v>0.98</v>
      </c>
      <c r="I61" s="11">
        <v>0.98</v>
      </c>
      <c r="J61" s="11">
        <v>0.98</v>
      </c>
      <c r="K61" s="11">
        <v>0.98</v>
      </c>
    </row>
    <row r="62" ht="14.25" customHeight="1">
      <c r="A62" s="11" t="s">
        <v>119</v>
      </c>
      <c r="B62" s="11" t="s">
        <v>120</v>
      </c>
      <c r="C62" s="11">
        <v>0.97</v>
      </c>
      <c r="D62" s="11">
        <v>0.97</v>
      </c>
      <c r="E62" s="11">
        <v>0.97</v>
      </c>
      <c r="F62" s="11">
        <v>0.97</v>
      </c>
      <c r="G62" s="11">
        <v>0.97</v>
      </c>
      <c r="H62" s="11">
        <v>0.97</v>
      </c>
      <c r="I62" s="11">
        <v>0.97</v>
      </c>
      <c r="J62" s="11">
        <v>0.96</v>
      </c>
      <c r="K62" s="11">
        <v>0.96</v>
      </c>
    </row>
    <row r="63" ht="14.25" customHeight="1">
      <c r="A63" s="11" t="s">
        <v>121</v>
      </c>
      <c r="B63" s="11" t="s">
        <v>122</v>
      </c>
    </row>
    <row r="64" ht="14.25" customHeight="1">
      <c r="A64" s="11" t="s">
        <v>123</v>
      </c>
      <c r="B64" s="11" t="s">
        <v>124</v>
      </c>
    </row>
    <row r="65" ht="14.25" customHeight="1">
      <c r="A65" s="11" t="s">
        <v>125</v>
      </c>
      <c r="B65" s="11" t="s">
        <v>126</v>
      </c>
      <c r="C65" s="11">
        <v>0.97</v>
      </c>
      <c r="D65" s="11">
        <v>0.97</v>
      </c>
      <c r="E65" s="11">
        <v>0.97</v>
      </c>
      <c r="F65" s="11">
        <v>0.97</v>
      </c>
      <c r="G65" s="11">
        <v>0.98</v>
      </c>
      <c r="H65" s="11">
        <v>0.98</v>
      </c>
      <c r="I65" s="11">
        <v>0.98</v>
      </c>
      <c r="J65" s="11">
        <v>0.98</v>
      </c>
      <c r="K65" s="11">
        <v>0.98</v>
      </c>
    </row>
    <row r="66" ht="14.25" customHeight="1">
      <c r="A66" s="11" t="s">
        <v>127</v>
      </c>
      <c r="B66" s="11" t="s">
        <v>128</v>
      </c>
      <c r="C66" s="11">
        <v>0.98</v>
      </c>
      <c r="D66" s="11">
        <v>0.98</v>
      </c>
      <c r="E66" s="11">
        <v>0.98</v>
      </c>
      <c r="F66" s="11">
        <v>0.98</v>
      </c>
      <c r="G66" s="11">
        <v>0.98</v>
      </c>
      <c r="H66" s="11">
        <v>0.98</v>
      </c>
      <c r="I66" s="11">
        <v>0.98</v>
      </c>
      <c r="J66" s="11">
        <v>0.97</v>
      </c>
      <c r="K66" s="11">
        <v>0.97</v>
      </c>
    </row>
    <row r="67" ht="14.25" customHeight="1">
      <c r="A67" s="11" t="s">
        <v>129</v>
      </c>
      <c r="B67" s="11" t="s">
        <v>130</v>
      </c>
      <c r="C67" s="11">
        <v>0.98</v>
      </c>
      <c r="D67" s="11">
        <v>0.98</v>
      </c>
      <c r="E67" s="11">
        <v>0.97</v>
      </c>
      <c r="F67" s="11">
        <v>0.97</v>
      </c>
      <c r="G67" s="11">
        <v>0.97</v>
      </c>
      <c r="H67" s="11">
        <v>0.97</v>
      </c>
      <c r="I67" s="11">
        <v>0.97</v>
      </c>
      <c r="J67" s="11">
        <v>0.97</v>
      </c>
      <c r="K67" s="11">
        <v>0.97</v>
      </c>
    </row>
    <row r="68" ht="14.25" customHeight="1">
      <c r="A68" s="11" t="s">
        <v>131</v>
      </c>
      <c r="B68" s="11" t="s">
        <v>132</v>
      </c>
      <c r="C68" s="11">
        <v>0.98</v>
      </c>
      <c r="D68" s="11">
        <v>0.98</v>
      </c>
      <c r="E68" s="11">
        <v>0.98</v>
      </c>
      <c r="F68" s="11">
        <v>0.98</v>
      </c>
      <c r="G68" s="11">
        <v>0.98</v>
      </c>
      <c r="H68" s="11">
        <v>0.98</v>
      </c>
      <c r="I68" s="11">
        <v>0.98</v>
      </c>
      <c r="J68" s="11">
        <v>0.98</v>
      </c>
      <c r="K68" s="11">
        <v>0.98</v>
      </c>
    </row>
    <row r="69" ht="14.25" customHeight="1">
      <c r="A69" s="11" t="s">
        <v>133</v>
      </c>
      <c r="B69" s="11" t="s">
        <v>134</v>
      </c>
    </row>
    <row r="70" ht="14.25" customHeight="1">
      <c r="A70" s="11" t="s">
        <v>135</v>
      </c>
      <c r="B70" s="11" t="s">
        <v>136</v>
      </c>
    </row>
    <row r="71" ht="14.25" customHeight="1">
      <c r="A71" s="11" t="s">
        <v>137</v>
      </c>
      <c r="B71" s="11" t="s">
        <v>138</v>
      </c>
      <c r="C71" s="11">
        <v>0.98</v>
      </c>
      <c r="D71" s="11">
        <v>0.98</v>
      </c>
      <c r="E71" s="11">
        <v>0.98</v>
      </c>
      <c r="F71" s="11">
        <v>0.98</v>
      </c>
      <c r="G71" s="11">
        <v>0.98</v>
      </c>
      <c r="H71" s="11">
        <v>0.98</v>
      </c>
      <c r="I71" s="11">
        <v>0.97</v>
      </c>
      <c r="J71" s="11">
        <v>0.98</v>
      </c>
      <c r="K71" s="11">
        <v>0.98</v>
      </c>
    </row>
    <row r="72" ht="14.25" customHeight="1">
      <c r="A72" s="11" t="s">
        <v>139</v>
      </c>
      <c r="B72" s="11" t="s">
        <v>140</v>
      </c>
      <c r="C72" s="11" t="s">
        <v>502</v>
      </c>
      <c r="D72" s="11">
        <v>0.98</v>
      </c>
      <c r="E72" s="11">
        <v>0.96</v>
      </c>
      <c r="F72" s="11">
        <v>0.96</v>
      </c>
      <c r="G72" s="11">
        <v>0.98</v>
      </c>
      <c r="H72" s="11" t="s">
        <v>502</v>
      </c>
      <c r="I72" s="11">
        <v>0.98</v>
      </c>
      <c r="J72" s="11">
        <v>0.98</v>
      </c>
      <c r="K72" s="11">
        <v>0.98</v>
      </c>
    </row>
    <row r="73" ht="14.25" customHeight="1">
      <c r="A73" s="11" t="s">
        <v>141</v>
      </c>
      <c r="B73" s="11" t="s">
        <v>142</v>
      </c>
      <c r="C73" s="11">
        <v>0.97</v>
      </c>
      <c r="D73" s="11">
        <v>0.97</v>
      </c>
      <c r="E73" s="11">
        <v>0.98</v>
      </c>
      <c r="F73" s="11">
        <v>0.98</v>
      </c>
      <c r="G73" s="11">
        <v>0.98</v>
      </c>
      <c r="H73" s="11">
        <v>0.98</v>
      </c>
      <c r="I73" s="11">
        <v>0.98</v>
      </c>
      <c r="J73" s="11">
        <v>0.97</v>
      </c>
      <c r="K73" s="11">
        <v>0.97</v>
      </c>
    </row>
    <row r="74" ht="14.25" customHeight="1">
      <c r="A74" s="11" t="s">
        <v>143</v>
      </c>
      <c r="B74" s="11" t="s">
        <v>144</v>
      </c>
    </row>
    <row r="75" ht="14.25" customHeight="1">
      <c r="A75" s="11" t="s">
        <v>145</v>
      </c>
      <c r="B75" s="11" t="s">
        <v>146</v>
      </c>
    </row>
    <row r="76" ht="14.25" customHeight="1">
      <c r="A76" s="11" t="s">
        <v>147</v>
      </c>
      <c r="B76" s="11" t="s">
        <v>148</v>
      </c>
      <c r="C76" s="11">
        <v>0.98</v>
      </c>
      <c r="D76" s="11">
        <v>0.98</v>
      </c>
      <c r="E76" s="11">
        <v>0.98</v>
      </c>
      <c r="F76" s="11" t="s">
        <v>502</v>
      </c>
      <c r="G76" s="11">
        <v>0.98</v>
      </c>
      <c r="H76" s="11">
        <v>0.98</v>
      </c>
      <c r="I76" s="11">
        <v>0.98</v>
      </c>
      <c r="J76" s="11">
        <v>0.97</v>
      </c>
      <c r="K76" s="11">
        <v>0.97</v>
      </c>
    </row>
    <row r="77" ht="14.25" customHeight="1">
      <c r="A77" s="11" t="s">
        <v>149</v>
      </c>
      <c r="B77" s="11" t="s">
        <v>150</v>
      </c>
      <c r="C77" s="11">
        <v>0.98</v>
      </c>
      <c r="D77" s="11">
        <v>0.98</v>
      </c>
      <c r="E77" s="11">
        <v>0.98</v>
      </c>
      <c r="F77" s="11">
        <v>0.98</v>
      </c>
      <c r="G77" s="11">
        <v>0.98</v>
      </c>
      <c r="H77" s="11">
        <v>0.98</v>
      </c>
      <c r="I77" s="11">
        <v>0.98</v>
      </c>
      <c r="J77" s="11">
        <v>0.97</v>
      </c>
      <c r="K77" s="11">
        <v>0.97</v>
      </c>
    </row>
    <row r="78" ht="14.25" customHeight="1">
      <c r="A78" s="11" t="s">
        <v>151</v>
      </c>
      <c r="B78" s="11" t="s">
        <v>152</v>
      </c>
      <c r="C78" s="11">
        <v>0.98</v>
      </c>
      <c r="D78" s="11">
        <v>0.98</v>
      </c>
      <c r="E78" s="11">
        <v>0.98</v>
      </c>
      <c r="F78" s="11">
        <v>0.98</v>
      </c>
      <c r="G78" s="11">
        <v>0.98</v>
      </c>
      <c r="H78" s="11">
        <v>0.97</v>
      </c>
      <c r="I78" s="11">
        <v>0.97</v>
      </c>
      <c r="J78" s="11">
        <v>0.97</v>
      </c>
      <c r="K78" s="11">
        <v>0.97</v>
      </c>
    </row>
    <row r="79" ht="14.25" customHeight="1">
      <c r="A79" s="11" t="s">
        <v>153</v>
      </c>
      <c r="B79" s="11" t="s">
        <v>154</v>
      </c>
    </row>
    <row r="80" ht="14.25" customHeight="1">
      <c r="A80" s="11" t="s">
        <v>155</v>
      </c>
      <c r="B80" s="11" t="s">
        <v>156</v>
      </c>
    </row>
    <row r="81" ht="14.25" customHeight="1">
      <c r="A81" s="11" t="s">
        <v>157</v>
      </c>
      <c r="B81" s="11" t="s">
        <v>158</v>
      </c>
    </row>
    <row r="82" ht="14.25" customHeight="1">
      <c r="A82" s="11" t="s">
        <v>159</v>
      </c>
      <c r="B82" s="11" t="s">
        <v>160</v>
      </c>
      <c r="C82" s="11" t="s">
        <v>502</v>
      </c>
      <c r="D82" s="11" t="s">
        <v>502</v>
      </c>
      <c r="E82" s="11">
        <v>0.97</v>
      </c>
      <c r="F82" s="11">
        <v>0.97</v>
      </c>
      <c r="G82" s="11">
        <v>0.97</v>
      </c>
      <c r="H82" s="11">
        <v>0.97</v>
      </c>
      <c r="I82" s="11">
        <v>0.97</v>
      </c>
      <c r="J82" s="11">
        <v>0.97</v>
      </c>
      <c r="K82" s="11">
        <v>0.97</v>
      </c>
    </row>
    <row r="83" ht="14.25" customHeight="1">
      <c r="A83" s="11" t="s">
        <v>161</v>
      </c>
      <c r="B83" s="11" t="s">
        <v>162</v>
      </c>
      <c r="C83" s="11">
        <v>0.96</v>
      </c>
      <c r="D83" s="11">
        <v>0.97</v>
      </c>
      <c r="E83" s="11">
        <v>0.97</v>
      </c>
      <c r="F83" s="11">
        <v>0.97</v>
      </c>
      <c r="G83" s="11">
        <v>0.97</v>
      </c>
      <c r="H83" s="11">
        <v>0.97</v>
      </c>
      <c r="I83" s="11">
        <v>0.98</v>
      </c>
      <c r="J83" s="11">
        <v>0.98</v>
      </c>
      <c r="K83" s="11">
        <v>0.98</v>
      </c>
    </row>
    <row r="84" ht="14.25" customHeight="1">
      <c r="A84" s="11" t="s">
        <v>163</v>
      </c>
      <c r="B84" s="11" t="s">
        <v>164</v>
      </c>
      <c r="C84" s="11">
        <v>0.98</v>
      </c>
      <c r="D84" s="11">
        <v>0.97</v>
      </c>
      <c r="E84" s="11">
        <v>0.98</v>
      </c>
      <c r="F84" s="11">
        <v>0.98</v>
      </c>
      <c r="G84" s="11">
        <v>0.98</v>
      </c>
      <c r="H84" s="11">
        <v>0.97</v>
      </c>
      <c r="I84" s="11">
        <v>0.97</v>
      </c>
      <c r="J84" s="11">
        <v>0.97</v>
      </c>
      <c r="K84" s="11">
        <v>0.97</v>
      </c>
    </row>
    <row r="85" ht="14.25" customHeight="1">
      <c r="A85" s="11" t="s">
        <v>165</v>
      </c>
      <c r="B85" s="11" t="s">
        <v>166</v>
      </c>
      <c r="C85" s="11">
        <v>0.97</v>
      </c>
      <c r="D85" s="11">
        <v>0.97</v>
      </c>
      <c r="E85" s="11">
        <v>0.97</v>
      </c>
      <c r="F85" s="11">
        <v>0.97</v>
      </c>
      <c r="G85" s="11">
        <v>0.97</v>
      </c>
      <c r="H85" s="11">
        <v>0.97</v>
      </c>
      <c r="I85" s="11">
        <v>0.97</v>
      </c>
      <c r="J85" s="11">
        <v>0.98</v>
      </c>
      <c r="K85" s="11">
        <v>0.98</v>
      </c>
    </row>
    <row r="86" ht="14.25" customHeight="1">
      <c r="A86" s="11" t="s">
        <v>167</v>
      </c>
      <c r="B86" s="11" t="s">
        <v>168</v>
      </c>
    </row>
    <row r="87" ht="14.25" customHeight="1">
      <c r="A87" s="11" t="s">
        <v>169</v>
      </c>
      <c r="B87" s="11" t="s">
        <v>170</v>
      </c>
      <c r="C87" s="11">
        <v>0.97</v>
      </c>
      <c r="D87" s="11">
        <v>0.98</v>
      </c>
      <c r="E87" s="11">
        <v>0.98</v>
      </c>
      <c r="F87" s="11">
        <v>0.98</v>
      </c>
      <c r="G87" s="11">
        <v>0.97</v>
      </c>
      <c r="H87" s="11">
        <v>0.97</v>
      </c>
      <c r="I87" s="11">
        <v>0.97</v>
      </c>
      <c r="J87" s="11">
        <v>0.97</v>
      </c>
      <c r="K87" s="11">
        <v>0.97</v>
      </c>
    </row>
    <row r="88" ht="14.25" customHeight="1">
      <c r="A88" s="11" t="s">
        <v>171</v>
      </c>
      <c r="B88" s="11" t="s">
        <v>172</v>
      </c>
    </row>
    <row r="89" ht="14.25" customHeight="1">
      <c r="A89" s="11" t="s">
        <v>173</v>
      </c>
      <c r="B89" s="11" t="s">
        <v>174</v>
      </c>
    </row>
    <row r="90" ht="14.25" customHeight="1">
      <c r="A90" s="11" t="s">
        <v>175</v>
      </c>
      <c r="B90" s="11" t="s">
        <v>176</v>
      </c>
    </row>
    <row r="91" ht="14.25" customHeight="1">
      <c r="A91" s="11" t="s">
        <v>177</v>
      </c>
      <c r="B91" s="11" t="s">
        <v>178</v>
      </c>
    </row>
    <row r="92" ht="14.25" customHeight="1">
      <c r="A92" s="11" t="s">
        <v>179</v>
      </c>
      <c r="B92" s="11" t="s">
        <v>180</v>
      </c>
      <c r="C92" s="11">
        <v>0.98</v>
      </c>
      <c r="D92" s="11">
        <v>0.98</v>
      </c>
      <c r="E92" s="11">
        <v>0.98</v>
      </c>
      <c r="F92" s="11">
        <v>0.98</v>
      </c>
      <c r="G92" s="11">
        <v>0.98</v>
      </c>
      <c r="H92" s="11">
        <v>0.98</v>
      </c>
      <c r="I92" s="11">
        <v>0.98</v>
      </c>
      <c r="J92" s="11">
        <v>0.98</v>
      </c>
      <c r="K92" s="11">
        <v>0.98</v>
      </c>
    </row>
    <row r="93" ht="14.25" customHeight="1">
      <c r="A93" s="11" t="s">
        <v>181</v>
      </c>
      <c r="B93" s="11" t="s">
        <v>182</v>
      </c>
      <c r="C93" s="11" t="s">
        <v>502</v>
      </c>
      <c r="D93" s="11">
        <v>0.97</v>
      </c>
      <c r="E93" s="11">
        <v>0.97</v>
      </c>
      <c r="F93" s="11">
        <v>0.97</v>
      </c>
      <c r="G93" s="11">
        <v>0.96</v>
      </c>
      <c r="H93" s="11">
        <v>0.96</v>
      </c>
      <c r="I93" s="11">
        <v>0.96</v>
      </c>
      <c r="J93" s="11">
        <v>0.97</v>
      </c>
      <c r="K93" s="11">
        <v>0.97</v>
      </c>
    </row>
    <row r="94" ht="14.25" customHeight="1">
      <c r="A94" s="11" t="s">
        <v>183</v>
      </c>
      <c r="B94" s="11" t="s">
        <v>184</v>
      </c>
    </row>
    <row r="95" ht="14.25" customHeight="1">
      <c r="A95" s="11" t="s">
        <v>185</v>
      </c>
      <c r="B95" s="11" t="s">
        <v>186</v>
      </c>
      <c r="C95" s="11">
        <v>0.98</v>
      </c>
      <c r="D95" s="11">
        <v>0.98</v>
      </c>
      <c r="E95" s="11">
        <v>0.98</v>
      </c>
      <c r="F95" s="11" t="s">
        <v>502</v>
      </c>
      <c r="G95" s="11" t="s">
        <v>502</v>
      </c>
      <c r="H95" s="11" t="s">
        <v>502</v>
      </c>
      <c r="I95" s="11" t="s">
        <v>502</v>
      </c>
      <c r="J95" s="11">
        <v>0.98</v>
      </c>
      <c r="K95" s="11">
        <v>0.98</v>
      </c>
    </row>
    <row r="96" ht="14.25" customHeight="1">
      <c r="A96" s="11" t="s">
        <v>187</v>
      </c>
      <c r="B96" s="11" t="s">
        <v>188</v>
      </c>
    </row>
    <row r="97" ht="14.25" customHeight="1">
      <c r="A97" s="11" t="s">
        <v>189</v>
      </c>
      <c r="B97" s="11" t="s">
        <v>190</v>
      </c>
    </row>
    <row r="98" ht="14.25" customHeight="1">
      <c r="A98" s="11" t="s">
        <v>191</v>
      </c>
      <c r="B98" s="11" t="s">
        <v>192</v>
      </c>
      <c r="C98" s="11">
        <v>0.98</v>
      </c>
      <c r="D98" s="11">
        <v>0.98</v>
      </c>
      <c r="E98" s="11">
        <v>0.98</v>
      </c>
      <c r="F98" s="11">
        <v>0.98</v>
      </c>
      <c r="G98" s="11">
        <v>0.97</v>
      </c>
      <c r="H98" s="11">
        <v>0.98</v>
      </c>
      <c r="I98" s="11">
        <v>0.98</v>
      </c>
      <c r="J98" s="11">
        <v>0.96</v>
      </c>
      <c r="K98" s="11">
        <v>0.96</v>
      </c>
    </row>
    <row r="99" ht="14.25" customHeight="1">
      <c r="A99" s="11" t="s">
        <v>193</v>
      </c>
      <c r="B99" s="11" t="s">
        <v>194</v>
      </c>
      <c r="C99" s="11">
        <v>0.98</v>
      </c>
      <c r="D99" s="11">
        <v>0.98</v>
      </c>
      <c r="E99" s="11">
        <v>0.98</v>
      </c>
      <c r="F99" s="11">
        <v>0.98</v>
      </c>
      <c r="G99" s="11">
        <v>0.98</v>
      </c>
      <c r="H99" s="11">
        <v>0.98</v>
      </c>
      <c r="I99" s="11">
        <v>0.98</v>
      </c>
      <c r="J99" s="11">
        <v>0.98</v>
      </c>
      <c r="K99" s="11">
        <v>0.98</v>
      </c>
    </row>
    <row r="100" ht="14.25" customHeight="1">
      <c r="A100" s="11" t="s">
        <v>195</v>
      </c>
      <c r="B100" s="11" t="s">
        <v>196</v>
      </c>
      <c r="C100" s="11">
        <v>0.97</v>
      </c>
      <c r="D100" s="11">
        <v>0.97</v>
      </c>
      <c r="E100" s="11">
        <v>0.97</v>
      </c>
      <c r="F100" s="11">
        <v>0.97</v>
      </c>
      <c r="G100" s="11">
        <v>0.97</v>
      </c>
      <c r="H100" s="11">
        <v>0.97</v>
      </c>
      <c r="I100" s="11">
        <v>0.97</v>
      </c>
      <c r="J100" s="11">
        <v>0.96</v>
      </c>
      <c r="K100" s="11">
        <v>0.96</v>
      </c>
    </row>
    <row r="101" ht="14.25" customHeight="1">
      <c r="A101" s="11" t="s">
        <v>197</v>
      </c>
      <c r="B101" s="11" t="s">
        <v>198</v>
      </c>
      <c r="C101" s="11">
        <v>0.93</v>
      </c>
      <c r="D101" s="11">
        <v>0.94</v>
      </c>
      <c r="E101" s="11">
        <v>0.94</v>
      </c>
      <c r="F101" s="11">
        <v>0.94</v>
      </c>
      <c r="G101" s="11">
        <v>0.94</v>
      </c>
      <c r="H101" s="11">
        <v>0.94</v>
      </c>
      <c r="I101" s="11">
        <v>0.94</v>
      </c>
      <c r="J101" s="11">
        <v>0.94</v>
      </c>
      <c r="K101" s="11">
        <v>0.94</v>
      </c>
    </row>
    <row r="102" ht="14.25" customHeight="1">
      <c r="A102" s="11" t="s">
        <v>199</v>
      </c>
      <c r="B102" s="11" t="s">
        <v>200</v>
      </c>
      <c r="C102" s="11">
        <v>0.97</v>
      </c>
      <c r="D102" s="11">
        <v>0.98</v>
      </c>
      <c r="E102" s="11">
        <v>0.98</v>
      </c>
      <c r="F102" s="11">
        <v>0.98</v>
      </c>
      <c r="G102" s="11">
        <v>0.98</v>
      </c>
      <c r="H102" s="11">
        <v>0.97</v>
      </c>
      <c r="I102" s="11">
        <v>0.97</v>
      </c>
      <c r="J102" s="11">
        <v>0.97</v>
      </c>
      <c r="K102" s="11">
        <v>0.97</v>
      </c>
    </row>
    <row r="103" ht="14.25" customHeight="1">
      <c r="A103" s="11" t="s">
        <v>201</v>
      </c>
      <c r="B103" s="11" t="s">
        <v>202</v>
      </c>
      <c r="C103" s="11">
        <v>0.97</v>
      </c>
      <c r="D103" s="11">
        <v>0.97</v>
      </c>
      <c r="E103" s="11">
        <v>0.97</v>
      </c>
      <c r="F103" s="11">
        <v>0.97</v>
      </c>
      <c r="G103" s="11">
        <v>0.96</v>
      </c>
      <c r="H103" s="11">
        <v>0.97</v>
      </c>
      <c r="I103" s="11">
        <v>0.97</v>
      </c>
      <c r="J103" s="11">
        <v>0.96</v>
      </c>
      <c r="K103" s="11">
        <v>0.96</v>
      </c>
    </row>
    <row r="104" ht="14.25" customHeight="1">
      <c r="A104" s="11" t="s">
        <v>203</v>
      </c>
      <c r="B104" s="11" t="s">
        <v>204</v>
      </c>
      <c r="C104" s="11" t="s">
        <v>502</v>
      </c>
      <c r="D104" s="11" t="s">
        <v>502</v>
      </c>
      <c r="E104" s="11" t="s">
        <v>502</v>
      </c>
      <c r="F104" s="11" t="s">
        <v>502</v>
      </c>
      <c r="G104" s="11" t="s">
        <v>502</v>
      </c>
      <c r="H104" s="11">
        <v>0.98</v>
      </c>
      <c r="I104" s="11">
        <v>0.98</v>
      </c>
      <c r="J104" s="11">
        <v>0.97</v>
      </c>
      <c r="K104" s="11" t="s">
        <v>502</v>
      </c>
    </row>
    <row r="105" ht="14.25" customHeight="1">
      <c r="A105" s="11" t="s">
        <v>205</v>
      </c>
      <c r="B105" s="11" t="s">
        <v>206</v>
      </c>
      <c r="C105" s="11">
        <v>0.97</v>
      </c>
      <c r="D105" s="11">
        <v>0.97</v>
      </c>
      <c r="E105" s="11">
        <v>0.98</v>
      </c>
      <c r="F105" s="11">
        <v>0.98</v>
      </c>
      <c r="G105" s="11">
        <v>0.97</v>
      </c>
      <c r="H105" s="11">
        <v>0.97</v>
      </c>
      <c r="I105" s="11">
        <v>0.97</v>
      </c>
      <c r="J105" s="11">
        <v>0.96</v>
      </c>
      <c r="K105" s="11">
        <v>0.96</v>
      </c>
    </row>
    <row r="106" ht="14.25" customHeight="1">
      <c r="A106" s="11" t="s">
        <v>207</v>
      </c>
      <c r="B106" s="11" t="s">
        <v>208</v>
      </c>
    </row>
    <row r="107" ht="14.25" customHeight="1">
      <c r="A107" s="11" t="s">
        <v>209</v>
      </c>
      <c r="B107" s="11" t="s">
        <v>210</v>
      </c>
      <c r="C107" s="11">
        <v>0.97</v>
      </c>
      <c r="D107" s="11">
        <v>0.97</v>
      </c>
      <c r="E107" s="11">
        <v>0.97</v>
      </c>
      <c r="F107" s="11">
        <v>0.97</v>
      </c>
      <c r="G107" s="11">
        <v>0.97</v>
      </c>
      <c r="H107" s="11">
        <v>0.97</v>
      </c>
      <c r="I107" s="11">
        <v>0.97</v>
      </c>
      <c r="J107" s="11">
        <v>0.96</v>
      </c>
      <c r="K107" s="11">
        <v>0.96</v>
      </c>
    </row>
    <row r="108" ht="14.25" customHeight="1">
      <c r="A108" s="11" t="s">
        <v>211</v>
      </c>
      <c r="B108" s="11" t="s">
        <v>212</v>
      </c>
      <c r="C108" s="11">
        <v>0.97</v>
      </c>
      <c r="D108" s="11">
        <v>0.97</v>
      </c>
      <c r="E108" s="11">
        <v>0.97</v>
      </c>
      <c r="F108" s="11">
        <v>0.97</v>
      </c>
      <c r="G108" s="11">
        <v>0.97</v>
      </c>
      <c r="H108" s="11">
        <v>0.97</v>
      </c>
      <c r="I108" s="11">
        <v>0.97</v>
      </c>
      <c r="J108" s="11">
        <v>0.96</v>
      </c>
      <c r="K108" s="11">
        <v>0.96</v>
      </c>
    </row>
    <row r="109" ht="14.25" customHeight="1">
      <c r="A109" s="11" t="s">
        <v>213</v>
      </c>
      <c r="B109" s="11" t="s">
        <v>214</v>
      </c>
      <c r="C109" s="11">
        <v>0.98</v>
      </c>
      <c r="D109" s="11">
        <v>0.98</v>
      </c>
      <c r="E109" s="11">
        <v>0.98</v>
      </c>
      <c r="F109" s="11">
        <v>0.98</v>
      </c>
      <c r="G109" s="11">
        <v>0.97</v>
      </c>
      <c r="H109" s="11">
        <v>0.98</v>
      </c>
      <c r="I109" s="11">
        <v>0.98</v>
      </c>
      <c r="J109" s="11">
        <v>0.97</v>
      </c>
      <c r="K109" s="11">
        <v>0.97</v>
      </c>
    </row>
    <row r="110" ht="14.25" customHeight="1">
      <c r="A110" s="11" t="s">
        <v>215</v>
      </c>
      <c r="B110" s="11" t="s">
        <v>216</v>
      </c>
      <c r="C110" s="11">
        <v>0.98</v>
      </c>
      <c r="D110" s="11">
        <v>0.98</v>
      </c>
      <c r="E110" s="11">
        <v>0.98</v>
      </c>
      <c r="F110" s="11">
        <v>0.98</v>
      </c>
      <c r="G110" s="11">
        <v>0.98</v>
      </c>
      <c r="H110" s="11">
        <v>0.98</v>
      </c>
      <c r="I110" s="11">
        <v>0.98</v>
      </c>
      <c r="J110" s="11">
        <v>0.97</v>
      </c>
      <c r="K110" s="11">
        <v>0.97</v>
      </c>
    </row>
    <row r="111" ht="14.25" customHeight="1">
      <c r="A111" s="11" t="s">
        <v>217</v>
      </c>
      <c r="B111" s="11" t="s">
        <v>218</v>
      </c>
      <c r="C111" s="11">
        <v>0.97</v>
      </c>
      <c r="D111" s="11">
        <v>0.97</v>
      </c>
      <c r="E111" s="11">
        <v>0.97</v>
      </c>
      <c r="F111" s="11">
        <v>0.97</v>
      </c>
      <c r="G111" s="11">
        <v>0.97</v>
      </c>
      <c r="H111" s="11">
        <v>0.97</v>
      </c>
      <c r="I111" s="11">
        <v>0.97</v>
      </c>
      <c r="J111" s="11">
        <v>0.96</v>
      </c>
      <c r="K111" s="11">
        <v>0.96</v>
      </c>
    </row>
    <row r="112" ht="14.25" customHeight="1">
      <c r="A112" s="11" t="s">
        <v>219</v>
      </c>
      <c r="B112" s="11" t="s">
        <v>220</v>
      </c>
      <c r="C112" s="11">
        <v>0.98</v>
      </c>
      <c r="D112" s="11">
        <v>0.98</v>
      </c>
      <c r="E112" s="11">
        <v>0.98</v>
      </c>
      <c r="F112" s="11">
        <v>0.98</v>
      </c>
      <c r="G112" s="11">
        <v>0.98</v>
      </c>
      <c r="H112" s="11">
        <v>0.98</v>
      </c>
      <c r="I112" s="11">
        <v>0.98</v>
      </c>
      <c r="J112" s="11">
        <v>0.98</v>
      </c>
      <c r="K112" s="11">
        <v>0.98</v>
      </c>
    </row>
    <row r="113" ht="14.25" customHeight="1">
      <c r="A113" s="11" t="s">
        <v>221</v>
      </c>
      <c r="B113" s="11" t="s">
        <v>222</v>
      </c>
      <c r="C113" s="11">
        <v>0.97</v>
      </c>
      <c r="D113" s="11">
        <v>0.97</v>
      </c>
      <c r="E113" s="11">
        <v>0.97</v>
      </c>
      <c r="F113" s="11">
        <v>0.97</v>
      </c>
      <c r="G113" s="11">
        <v>0.98</v>
      </c>
      <c r="H113" s="11">
        <v>0.98</v>
      </c>
      <c r="I113" s="11">
        <v>0.98</v>
      </c>
      <c r="J113" s="11">
        <v>0.98</v>
      </c>
      <c r="K113" s="11">
        <v>0.98</v>
      </c>
    </row>
    <row r="114" ht="14.25" customHeight="1">
      <c r="A114" s="11" t="s">
        <v>223</v>
      </c>
      <c r="B114" s="11" t="s">
        <v>224</v>
      </c>
    </row>
    <row r="115" ht="14.25" customHeight="1">
      <c r="A115" s="11" t="s">
        <v>225</v>
      </c>
      <c r="B115" s="11" t="s">
        <v>226</v>
      </c>
      <c r="C115" s="11">
        <v>0.96</v>
      </c>
      <c r="D115" s="11">
        <v>0.96</v>
      </c>
      <c r="E115" s="11">
        <v>0.96</v>
      </c>
      <c r="F115" s="11">
        <v>0.96</v>
      </c>
      <c r="G115" s="11">
        <v>0.97</v>
      </c>
      <c r="H115" s="11">
        <v>0.96</v>
      </c>
      <c r="I115" s="11">
        <v>0.96</v>
      </c>
      <c r="J115" s="11">
        <v>0.97</v>
      </c>
      <c r="K115" s="11">
        <v>0.97</v>
      </c>
    </row>
    <row r="116" ht="14.25" customHeight="1">
      <c r="A116" s="11" t="s">
        <v>227</v>
      </c>
      <c r="B116" s="11" t="s">
        <v>228</v>
      </c>
      <c r="C116" s="11">
        <v>0.97</v>
      </c>
      <c r="D116" s="11">
        <v>0.97</v>
      </c>
      <c r="E116" s="11">
        <v>0.97</v>
      </c>
      <c r="F116" s="11">
        <v>0.97</v>
      </c>
      <c r="G116" s="11">
        <v>0.98</v>
      </c>
      <c r="H116" s="11">
        <v>0.98</v>
      </c>
      <c r="I116" s="11">
        <v>0.98</v>
      </c>
      <c r="J116" s="11">
        <v>0.98</v>
      </c>
      <c r="K116" s="11">
        <v>0.98</v>
      </c>
    </row>
    <row r="117" ht="14.25" customHeight="1">
      <c r="A117" s="11" t="s">
        <v>229</v>
      </c>
      <c r="B117" s="11" t="s">
        <v>230</v>
      </c>
      <c r="C117" s="11">
        <v>0.97</v>
      </c>
      <c r="D117" s="11">
        <v>0.97</v>
      </c>
      <c r="E117" s="11">
        <v>0.97</v>
      </c>
      <c r="F117" s="11">
        <v>0.97</v>
      </c>
      <c r="G117" s="11">
        <v>0.97</v>
      </c>
      <c r="H117" s="11">
        <v>0.97</v>
      </c>
      <c r="I117" s="11">
        <v>0.97</v>
      </c>
      <c r="J117" s="11">
        <v>0.98</v>
      </c>
      <c r="K117" s="11">
        <v>0.98</v>
      </c>
    </row>
    <row r="118" ht="14.25" customHeight="1">
      <c r="A118" s="11" t="s">
        <v>231</v>
      </c>
      <c r="B118" s="11" t="s">
        <v>232</v>
      </c>
      <c r="C118" s="11">
        <v>0.98</v>
      </c>
      <c r="D118" s="11">
        <v>0.98</v>
      </c>
      <c r="E118" s="11">
        <v>0.98</v>
      </c>
      <c r="F118" s="11">
        <v>0.98</v>
      </c>
      <c r="G118" s="11">
        <v>0.98</v>
      </c>
      <c r="H118" s="11">
        <v>0.98</v>
      </c>
      <c r="I118" s="11">
        <v>0.98</v>
      </c>
      <c r="J118" s="11">
        <v>0.98</v>
      </c>
      <c r="K118" s="11">
        <v>0.98</v>
      </c>
    </row>
    <row r="119" ht="14.25" customHeight="1">
      <c r="A119" s="11" t="s">
        <v>233</v>
      </c>
      <c r="B119" s="11" t="s">
        <v>234</v>
      </c>
      <c r="C119" s="11">
        <v>0.98</v>
      </c>
      <c r="D119" s="11">
        <v>0.97</v>
      </c>
      <c r="E119" s="11">
        <v>0.97</v>
      </c>
      <c r="F119" s="11">
        <v>0.97</v>
      </c>
      <c r="G119" s="11">
        <v>0.97</v>
      </c>
      <c r="H119" s="11">
        <v>0.97</v>
      </c>
      <c r="I119" s="11">
        <v>0.97</v>
      </c>
      <c r="J119" s="11">
        <v>0.97</v>
      </c>
      <c r="K119" s="11">
        <v>0.97</v>
      </c>
    </row>
    <row r="120" ht="14.25" customHeight="1">
      <c r="A120" s="11" t="s">
        <v>235</v>
      </c>
      <c r="B120" s="11" t="s">
        <v>236</v>
      </c>
      <c r="C120" s="11">
        <v>0.98</v>
      </c>
      <c r="D120" s="11">
        <v>0.98</v>
      </c>
      <c r="E120" s="11">
        <v>0.98</v>
      </c>
      <c r="F120" s="11">
        <v>0.98</v>
      </c>
      <c r="G120" s="11">
        <v>0.98</v>
      </c>
      <c r="H120" s="11">
        <v>0.98</v>
      </c>
      <c r="I120" s="11">
        <v>0.98</v>
      </c>
      <c r="J120" s="11">
        <v>0.98</v>
      </c>
      <c r="K120" s="11">
        <v>0.98</v>
      </c>
    </row>
    <row r="121" ht="14.25" customHeight="1">
      <c r="A121" s="11" t="s">
        <v>237</v>
      </c>
      <c r="B121" s="11" t="s">
        <v>238</v>
      </c>
      <c r="C121" s="11" t="s">
        <v>502</v>
      </c>
      <c r="D121" s="11">
        <v>0.97</v>
      </c>
      <c r="E121" s="11">
        <v>0.97</v>
      </c>
      <c r="F121" s="11">
        <v>0.97</v>
      </c>
      <c r="G121" s="11">
        <v>0.97</v>
      </c>
      <c r="H121" s="11">
        <v>0.97</v>
      </c>
      <c r="I121" s="11">
        <v>0.97</v>
      </c>
      <c r="J121" s="11">
        <v>0.96</v>
      </c>
      <c r="K121" s="11">
        <v>0.96</v>
      </c>
    </row>
    <row r="122" ht="14.25" customHeight="1">
      <c r="A122" s="11" t="s">
        <v>239</v>
      </c>
      <c r="B122" s="11" t="s">
        <v>240</v>
      </c>
    </row>
    <row r="123" ht="14.25" customHeight="1">
      <c r="A123" s="11" t="s">
        <v>241</v>
      </c>
      <c r="B123" s="11" t="s">
        <v>242</v>
      </c>
    </row>
    <row r="124" ht="14.25" customHeight="1">
      <c r="A124" s="11" t="s">
        <v>243</v>
      </c>
      <c r="B124" s="11" t="s">
        <v>244</v>
      </c>
      <c r="C124" s="11">
        <v>0.98</v>
      </c>
      <c r="D124" s="11">
        <v>0.98</v>
      </c>
      <c r="E124" s="11">
        <v>0.98</v>
      </c>
      <c r="F124" s="11">
        <v>0.98</v>
      </c>
      <c r="G124" s="11">
        <v>0.98</v>
      </c>
      <c r="H124" s="11">
        <v>0.98</v>
      </c>
      <c r="I124" s="11">
        <v>0.98</v>
      </c>
      <c r="J124" s="11">
        <v>0.98</v>
      </c>
      <c r="K124" s="11">
        <v>0.98</v>
      </c>
    </row>
    <row r="125" ht="14.25" customHeight="1">
      <c r="A125" s="11" t="s">
        <v>245</v>
      </c>
      <c r="B125" s="11" t="s">
        <v>246</v>
      </c>
      <c r="C125" s="11">
        <v>0.97</v>
      </c>
      <c r="D125" s="11">
        <v>0.97</v>
      </c>
      <c r="E125" s="11">
        <v>0.97</v>
      </c>
      <c r="F125" s="11">
        <v>0.97</v>
      </c>
      <c r="G125" s="11">
        <v>0.97</v>
      </c>
      <c r="H125" s="11">
        <v>0.97</v>
      </c>
      <c r="I125" s="11">
        <v>0.97</v>
      </c>
      <c r="J125" s="11">
        <v>0.96</v>
      </c>
      <c r="K125" s="11">
        <v>0.96</v>
      </c>
    </row>
    <row r="126" ht="14.25" customHeight="1">
      <c r="A126" s="11" t="s">
        <v>247</v>
      </c>
      <c r="B126" s="11" t="s">
        <v>248</v>
      </c>
      <c r="C126" s="11">
        <v>0.97</v>
      </c>
      <c r="D126" s="11">
        <v>0.97</v>
      </c>
      <c r="E126" s="11">
        <v>0.97</v>
      </c>
      <c r="F126" s="11">
        <v>0.97</v>
      </c>
      <c r="G126" s="11">
        <v>0.97</v>
      </c>
      <c r="H126" s="11">
        <v>0.97</v>
      </c>
      <c r="I126" s="11">
        <v>0.97</v>
      </c>
      <c r="J126" s="11">
        <v>0.96</v>
      </c>
      <c r="K126" s="11">
        <v>0.97</v>
      </c>
    </row>
    <row r="127" ht="14.25" customHeight="1">
      <c r="A127" s="11" t="s">
        <v>249</v>
      </c>
      <c r="B127" s="11" t="s">
        <v>250</v>
      </c>
      <c r="C127" s="11">
        <v>0.97</v>
      </c>
      <c r="D127" s="11">
        <v>0.97</v>
      </c>
      <c r="E127" s="11">
        <v>0.97</v>
      </c>
      <c r="F127" s="11">
        <v>0.97</v>
      </c>
      <c r="G127" s="11">
        <v>0.97</v>
      </c>
      <c r="H127" s="11">
        <v>0.98</v>
      </c>
      <c r="I127" s="11">
        <v>0.98</v>
      </c>
      <c r="J127" s="11">
        <v>0.98</v>
      </c>
      <c r="K127" s="11">
        <v>0.98</v>
      </c>
    </row>
    <row r="128" ht="14.25" customHeight="1">
      <c r="A128" s="11" t="s">
        <v>251</v>
      </c>
      <c r="B128" s="11" t="s">
        <v>252</v>
      </c>
      <c r="C128" s="11">
        <v>0.97</v>
      </c>
      <c r="D128" s="11">
        <v>0.97</v>
      </c>
      <c r="E128" s="11">
        <v>0.97</v>
      </c>
      <c r="F128" s="11">
        <v>0.97</v>
      </c>
      <c r="G128" s="11">
        <v>0.98</v>
      </c>
      <c r="H128" s="11">
        <v>0.97</v>
      </c>
      <c r="I128" s="11">
        <v>0.97</v>
      </c>
      <c r="J128" s="11">
        <v>0.97</v>
      </c>
      <c r="K128" s="11">
        <v>0.97</v>
      </c>
    </row>
    <row r="129" ht="14.25" customHeight="1">
      <c r="A129" s="11" t="s">
        <v>253</v>
      </c>
      <c r="B129" s="11" t="s">
        <v>254</v>
      </c>
      <c r="C129" s="11">
        <v>0.96</v>
      </c>
      <c r="D129" s="11">
        <v>0.97</v>
      </c>
      <c r="E129" s="11">
        <v>0.97</v>
      </c>
      <c r="F129" s="11">
        <v>0.97</v>
      </c>
      <c r="G129" s="11">
        <v>0.96</v>
      </c>
      <c r="H129" s="11">
        <v>0.95</v>
      </c>
      <c r="I129" s="11">
        <v>0.95</v>
      </c>
      <c r="J129" s="11">
        <v>0.96</v>
      </c>
      <c r="K129" s="11">
        <v>0.96</v>
      </c>
    </row>
    <row r="130" ht="14.25" customHeight="1">
      <c r="A130" s="11" t="s">
        <v>255</v>
      </c>
      <c r="B130" s="11" t="s">
        <v>256</v>
      </c>
      <c r="C130" s="11">
        <v>0.98</v>
      </c>
      <c r="D130" s="11">
        <v>0.95</v>
      </c>
      <c r="E130" s="11">
        <v>0.95</v>
      </c>
      <c r="F130" s="11">
        <v>0.95</v>
      </c>
      <c r="G130" s="11">
        <v>0.96</v>
      </c>
      <c r="H130" s="11">
        <v>0.96</v>
      </c>
      <c r="I130" s="11">
        <v>0.96</v>
      </c>
      <c r="J130" s="11">
        <v>0.96</v>
      </c>
      <c r="K130" s="11">
        <v>0.96</v>
      </c>
    </row>
    <row r="131" ht="14.25" customHeight="1">
      <c r="A131" s="11" t="s">
        <v>257</v>
      </c>
      <c r="B131" s="11" t="s">
        <v>258</v>
      </c>
      <c r="C131" s="11">
        <v>0.97</v>
      </c>
      <c r="D131" s="11">
        <v>0.97</v>
      </c>
      <c r="E131" s="11">
        <v>0.97</v>
      </c>
      <c r="F131" s="11">
        <v>0.97</v>
      </c>
      <c r="G131" s="11">
        <v>0.97</v>
      </c>
      <c r="H131" s="11">
        <v>0.97</v>
      </c>
      <c r="I131" s="11">
        <v>0.97</v>
      </c>
      <c r="J131" s="11">
        <v>0.96</v>
      </c>
      <c r="K131" s="11">
        <v>0.96</v>
      </c>
    </row>
    <row r="132" ht="14.25" customHeight="1">
      <c r="A132" s="11" t="s">
        <v>259</v>
      </c>
      <c r="B132" s="11" t="s">
        <v>260</v>
      </c>
    </row>
    <row r="133" ht="14.25" customHeight="1">
      <c r="A133" s="11" t="s">
        <v>261</v>
      </c>
      <c r="B133" s="11" t="s">
        <v>262</v>
      </c>
    </row>
    <row r="134" ht="14.25" customHeight="1">
      <c r="A134" s="11" t="s">
        <v>263</v>
      </c>
      <c r="B134" s="11" t="s">
        <v>264</v>
      </c>
      <c r="C134" s="11" t="s">
        <v>502</v>
      </c>
      <c r="D134" s="11">
        <v>0.97</v>
      </c>
      <c r="E134" s="11">
        <v>0.97</v>
      </c>
      <c r="F134" s="11">
        <v>0.97</v>
      </c>
      <c r="G134" s="11">
        <v>0.97</v>
      </c>
      <c r="H134" s="11">
        <v>0.97</v>
      </c>
      <c r="I134" s="11">
        <v>0.97</v>
      </c>
      <c r="J134" s="11">
        <v>0.96</v>
      </c>
      <c r="K134" s="11" t="s">
        <v>502</v>
      </c>
    </row>
    <row r="135" ht="14.25" customHeight="1">
      <c r="A135" s="11" t="s">
        <v>265</v>
      </c>
      <c r="B135" s="11" t="s">
        <v>266</v>
      </c>
      <c r="C135" s="11">
        <v>0.98</v>
      </c>
      <c r="D135" s="11">
        <v>0.98</v>
      </c>
      <c r="E135" s="11">
        <v>0.98</v>
      </c>
      <c r="F135" s="11">
        <v>0.98</v>
      </c>
      <c r="G135" s="11">
        <v>0.98</v>
      </c>
      <c r="H135" s="11">
        <v>0.98</v>
      </c>
      <c r="I135" s="11">
        <v>0.98</v>
      </c>
      <c r="J135" s="11">
        <v>0.98</v>
      </c>
      <c r="K135" s="11">
        <v>0.98</v>
      </c>
    </row>
    <row r="136" ht="14.25" customHeight="1">
      <c r="A136" s="11" t="s">
        <v>267</v>
      </c>
      <c r="B136" s="11" t="s">
        <v>268</v>
      </c>
    </row>
    <row r="137" ht="14.25" customHeight="1">
      <c r="A137" s="11" t="s">
        <v>269</v>
      </c>
      <c r="B137" s="11" t="s">
        <v>270</v>
      </c>
      <c r="C137" s="11">
        <v>0.98</v>
      </c>
      <c r="D137" s="11">
        <v>0.98</v>
      </c>
      <c r="E137" s="11">
        <v>0.98</v>
      </c>
      <c r="F137" s="11">
        <v>0.98</v>
      </c>
      <c r="G137" s="11">
        <v>0.98</v>
      </c>
      <c r="H137" s="11">
        <v>0.98</v>
      </c>
      <c r="I137" s="11">
        <v>0.98</v>
      </c>
      <c r="J137" s="11">
        <v>0.98</v>
      </c>
      <c r="K137" s="11">
        <v>0.98</v>
      </c>
    </row>
    <row r="138" ht="14.25" customHeight="1">
      <c r="A138" s="11" t="s">
        <v>271</v>
      </c>
      <c r="B138" s="11" t="s">
        <v>272</v>
      </c>
    </row>
    <row r="139" ht="14.25" customHeight="1">
      <c r="A139" s="11" t="s">
        <v>273</v>
      </c>
      <c r="B139" s="11" t="s">
        <v>274</v>
      </c>
    </row>
    <row r="140" ht="14.25" customHeight="1">
      <c r="A140" s="11" t="s">
        <v>275</v>
      </c>
      <c r="B140" s="11" t="s">
        <v>276</v>
      </c>
      <c r="C140" s="11">
        <v>0.98</v>
      </c>
      <c r="D140" s="11">
        <v>0.98</v>
      </c>
      <c r="E140" s="11">
        <v>0.98</v>
      </c>
      <c r="F140" s="11">
        <v>0.98</v>
      </c>
      <c r="G140" s="11">
        <v>0.98</v>
      </c>
      <c r="H140" s="11">
        <v>0.98</v>
      </c>
      <c r="I140" s="11">
        <v>0.98</v>
      </c>
      <c r="J140" s="11">
        <v>0.98</v>
      </c>
      <c r="K140" s="11">
        <v>0.98</v>
      </c>
    </row>
    <row r="141" ht="14.25" customHeight="1">
      <c r="A141" s="11" t="s">
        <v>277</v>
      </c>
      <c r="B141" s="11" t="s">
        <v>278</v>
      </c>
      <c r="C141" s="11" t="s">
        <v>502</v>
      </c>
      <c r="D141" s="11">
        <v>0.96</v>
      </c>
      <c r="E141" s="11">
        <v>0.98</v>
      </c>
      <c r="F141" s="11">
        <v>0.98</v>
      </c>
      <c r="G141" s="11">
        <v>0.97</v>
      </c>
      <c r="H141" s="11">
        <v>0.98</v>
      </c>
      <c r="I141" s="11">
        <v>0.97</v>
      </c>
      <c r="J141" s="11">
        <v>0.97</v>
      </c>
      <c r="K141" s="11">
        <v>0.97</v>
      </c>
    </row>
    <row r="142" ht="14.25" customHeight="1">
      <c r="A142" s="11" t="s">
        <v>279</v>
      </c>
      <c r="B142" s="11" t="s">
        <v>280</v>
      </c>
    </row>
    <row r="143" ht="14.25" customHeight="1">
      <c r="A143" s="11" t="s">
        <v>281</v>
      </c>
      <c r="B143" s="11" t="s">
        <v>282</v>
      </c>
      <c r="C143" s="11">
        <v>0.97</v>
      </c>
      <c r="D143" s="11">
        <v>0.97</v>
      </c>
      <c r="E143" s="11">
        <v>0.97</v>
      </c>
      <c r="F143" s="11">
        <v>0.97</v>
      </c>
      <c r="G143" s="11">
        <v>0.96</v>
      </c>
      <c r="H143" s="11">
        <v>0.96</v>
      </c>
      <c r="I143" s="11">
        <v>0.96</v>
      </c>
      <c r="J143" s="11">
        <v>0.96</v>
      </c>
      <c r="K143" s="11">
        <v>0.96</v>
      </c>
    </row>
    <row r="144" ht="14.25" customHeight="1">
      <c r="A144" s="11" t="s">
        <v>283</v>
      </c>
      <c r="B144" s="11" t="s">
        <v>284</v>
      </c>
      <c r="C144" s="11">
        <v>0.96</v>
      </c>
      <c r="D144" s="11">
        <v>0.97</v>
      </c>
      <c r="E144" s="11">
        <v>0.97</v>
      </c>
      <c r="F144" s="11">
        <v>0.97</v>
      </c>
      <c r="G144" s="11">
        <v>0.98</v>
      </c>
      <c r="H144" s="11">
        <v>0.98</v>
      </c>
      <c r="I144" s="11">
        <v>0.98</v>
      </c>
      <c r="J144" s="11">
        <v>0.98</v>
      </c>
      <c r="K144" s="11">
        <v>0.98</v>
      </c>
    </row>
    <row r="145" ht="14.25" customHeight="1">
      <c r="A145" s="11" t="s">
        <v>285</v>
      </c>
      <c r="B145" s="11" t="s">
        <v>286</v>
      </c>
      <c r="C145" s="11" t="s">
        <v>502</v>
      </c>
      <c r="D145" s="11" t="s">
        <v>502</v>
      </c>
      <c r="E145" s="11" t="s">
        <v>502</v>
      </c>
      <c r="F145" s="11" t="s">
        <v>502</v>
      </c>
      <c r="G145" s="11">
        <v>0.98</v>
      </c>
      <c r="H145" s="11">
        <v>0.98</v>
      </c>
      <c r="I145" s="11">
        <v>0.98</v>
      </c>
      <c r="J145" s="11">
        <v>0.98</v>
      </c>
      <c r="K145" s="11">
        <v>0.98</v>
      </c>
    </row>
    <row r="146" ht="14.25" customHeight="1">
      <c r="A146" s="11" t="s">
        <v>287</v>
      </c>
      <c r="B146" s="11" t="s">
        <v>288</v>
      </c>
      <c r="C146" s="11">
        <v>0.97</v>
      </c>
      <c r="D146" s="11">
        <v>0.98</v>
      </c>
      <c r="E146" s="11">
        <v>0.98</v>
      </c>
      <c r="F146" s="11">
        <v>0.98</v>
      </c>
      <c r="G146" s="11">
        <v>0.98</v>
      </c>
      <c r="H146" s="11">
        <v>0.98</v>
      </c>
      <c r="I146" s="11">
        <v>0.98</v>
      </c>
      <c r="J146" s="11">
        <v>0.98</v>
      </c>
      <c r="K146" s="11">
        <v>0.98</v>
      </c>
    </row>
    <row r="147" ht="14.25" customHeight="1">
      <c r="A147" s="11" t="s">
        <v>289</v>
      </c>
      <c r="B147" s="11" t="s">
        <v>290</v>
      </c>
    </row>
    <row r="148" ht="14.25" customHeight="1">
      <c r="A148" s="11" t="s">
        <v>291</v>
      </c>
      <c r="B148" s="11" t="s">
        <v>292</v>
      </c>
      <c r="C148" s="11">
        <v>0.96</v>
      </c>
      <c r="D148" s="11">
        <v>0.97</v>
      </c>
      <c r="E148" s="11">
        <v>0.97</v>
      </c>
      <c r="F148" s="11">
        <v>0.97</v>
      </c>
      <c r="G148" s="11">
        <v>0.97</v>
      </c>
      <c r="H148" s="11">
        <v>0.97</v>
      </c>
      <c r="I148" s="11">
        <v>0.97</v>
      </c>
      <c r="J148" s="11">
        <v>0.96</v>
      </c>
      <c r="K148" s="11">
        <v>0.96</v>
      </c>
    </row>
    <row r="149" ht="14.25" customHeight="1">
      <c r="A149" s="11" t="s">
        <v>293</v>
      </c>
      <c r="B149" s="11" t="s">
        <v>294</v>
      </c>
      <c r="C149" s="11">
        <v>0.97</v>
      </c>
      <c r="D149" s="11">
        <v>0.97</v>
      </c>
      <c r="E149" s="11">
        <v>0.97</v>
      </c>
      <c r="F149" s="11">
        <v>0.97</v>
      </c>
      <c r="G149" s="11">
        <v>0.97</v>
      </c>
      <c r="H149" s="11">
        <v>0.97</v>
      </c>
      <c r="I149" s="11">
        <v>0.97</v>
      </c>
      <c r="J149" s="11">
        <v>0.96</v>
      </c>
      <c r="K149" s="11">
        <v>0.96</v>
      </c>
    </row>
    <row r="150" ht="14.25" customHeight="1">
      <c r="A150" s="11" t="s">
        <v>295</v>
      </c>
      <c r="B150" s="11" t="s">
        <v>296</v>
      </c>
    </row>
    <row r="151" ht="14.25" customHeight="1">
      <c r="A151" s="11" t="s">
        <v>297</v>
      </c>
      <c r="B151" s="11" t="s">
        <v>298</v>
      </c>
      <c r="C151" s="11">
        <v>0.97</v>
      </c>
      <c r="D151" s="11">
        <v>0.97</v>
      </c>
      <c r="E151" s="11">
        <v>0.97</v>
      </c>
      <c r="F151" s="11">
        <v>0.97</v>
      </c>
      <c r="G151" s="11">
        <v>0.97</v>
      </c>
      <c r="H151" s="11">
        <v>0.97</v>
      </c>
      <c r="I151" s="11">
        <v>0.97</v>
      </c>
      <c r="J151" s="11">
        <v>0.97</v>
      </c>
      <c r="K151" s="11">
        <v>0.97</v>
      </c>
    </row>
    <row r="152" ht="14.25" customHeight="1">
      <c r="A152" s="11" t="s">
        <v>299</v>
      </c>
      <c r="B152" s="11" t="s">
        <v>300</v>
      </c>
      <c r="C152" s="11">
        <v>0.98</v>
      </c>
      <c r="D152" s="11">
        <v>0.98</v>
      </c>
      <c r="E152" s="11">
        <v>0.98</v>
      </c>
      <c r="F152" s="11">
        <v>0.98</v>
      </c>
      <c r="G152" s="11">
        <v>0.98</v>
      </c>
      <c r="H152" s="11">
        <v>0.98</v>
      </c>
      <c r="I152" s="11">
        <v>0.98</v>
      </c>
      <c r="J152" s="11">
        <v>0.98</v>
      </c>
      <c r="K152" s="11">
        <v>0.98</v>
      </c>
    </row>
    <row r="153" ht="14.25" customHeight="1">
      <c r="A153" s="11" t="s">
        <v>301</v>
      </c>
      <c r="B153" s="11" t="s">
        <v>302</v>
      </c>
      <c r="C153" s="11" t="s">
        <v>502</v>
      </c>
      <c r="D153" s="11" t="s">
        <v>502</v>
      </c>
      <c r="E153" s="11" t="s">
        <v>502</v>
      </c>
      <c r="F153" s="11" t="s">
        <v>502</v>
      </c>
      <c r="G153" s="11" t="s">
        <v>502</v>
      </c>
      <c r="H153" s="11" t="s">
        <v>502</v>
      </c>
      <c r="I153" s="11" t="s">
        <v>502</v>
      </c>
      <c r="J153" s="11">
        <v>0.96</v>
      </c>
      <c r="K153" s="11">
        <v>0.96</v>
      </c>
    </row>
    <row r="154" ht="14.25" customHeight="1">
      <c r="A154" s="11" t="s">
        <v>303</v>
      </c>
      <c r="B154" s="11" t="s">
        <v>304</v>
      </c>
      <c r="C154" s="11">
        <v>0.96</v>
      </c>
      <c r="D154" s="11">
        <v>0.97</v>
      </c>
      <c r="E154" s="11">
        <v>0.96</v>
      </c>
      <c r="F154" s="11">
        <v>0.96</v>
      </c>
      <c r="G154" s="11">
        <v>0.97</v>
      </c>
      <c r="H154" s="11">
        <v>0.96</v>
      </c>
      <c r="I154" s="11">
        <v>0.96</v>
      </c>
      <c r="J154" s="11">
        <v>0.97</v>
      </c>
      <c r="K154" s="11">
        <v>0.97</v>
      </c>
    </row>
    <row r="155" ht="14.25" customHeight="1">
      <c r="A155" s="11" t="s">
        <v>305</v>
      </c>
      <c r="B155" s="11" t="s">
        <v>306</v>
      </c>
    </row>
    <row r="156" ht="14.25" customHeight="1">
      <c r="A156" s="11" t="s">
        <v>307</v>
      </c>
      <c r="B156" s="11" t="s">
        <v>308</v>
      </c>
      <c r="C156" s="11">
        <v>0.95</v>
      </c>
      <c r="D156" s="11">
        <v>0.96</v>
      </c>
      <c r="E156" s="11">
        <v>0.97</v>
      </c>
      <c r="F156" s="11">
        <v>0.97</v>
      </c>
      <c r="G156" s="11">
        <v>0.98</v>
      </c>
      <c r="H156" s="11">
        <v>0.98</v>
      </c>
      <c r="I156" s="11">
        <v>0.97</v>
      </c>
      <c r="J156" s="11">
        <v>0.97</v>
      </c>
      <c r="K156" s="11">
        <v>0.97</v>
      </c>
    </row>
    <row r="157" ht="14.25" customHeight="1">
      <c r="A157" s="11" t="s">
        <v>309</v>
      </c>
      <c r="B157" s="11" t="s">
        <v>310</v>
      </c>
    </row>
    <row r="158" ht="14.25" customHeight="1">
      <c r="A158" s="11" t="s">
        <v>311</v>
      </c>
      <c r="B158" s="11" t="s">
        <v>312</v>
      </c>
      <c r="C158" s="11">
        <v>0.97</v>
      </c>
      <c r="D158" s="11">
        <v>0.97</v>
      </c>
      <c r="E158" s="11">
        <v>0.97</v>
      </c>
      <c r="F158" s="11">
        <v>0.97</v>
      </c>
      <c r="G158" s="11">
        <v>0.97</v>
      </c>
      <c r="H158" s="11">
        <v>0.97</v>
      </c>
      <c r="I158" s="11">
        <v>0.97</v>
      </c>
      <c r="J158" s="11">
        <v>0.96</v>
      </c>
      <c r="K158" s="11">
        <v>0.96</v>
      </c>
    </row>
    <row r="159" ht="14.25" customHeight="1">
      <c r="A159" s="11" t="s">
        <v>313</v>
      </c>
      <c r="B159" s="11" t="s">
        <v>314</v>
      </c>
      <c r="C159" s="11">
        <v>0.98</v>
      </c>
      <c r="D159" s="11">
        <v>0.97</v>
      </c>
      <c r="E159" s="11">
        <v>0.97</v>
      </c>
      <c r="F159" s="11">
        <v>0.97</v>
      </c>
      <c r="G159" s="11" t="s">
        <v>502</v>
      </c>
      <c r="H159" s="11">
        <v>0.98</v>
      </c>
      <c r="I159" s="11">
        <v>0.98</v>
      </c>
      <c r="J159" s="11">
        <v>0.96</v>
      </c>
      <c r="K159" s="11">
        <v>0.96</v>
      </c>
    </row>
    <row r="160" ht="14.25" customHeight="1">
      <c r="A160" s="11" t="s">
        <v>315</v>
      </c>
      <c r="B160" s="11" t="s">
        <v>316</v>
      </c>
      <c r="C160" s="11">
        <v>0.96</v>
      </c>
      <c r="D160" s="11">
        <v>0.97</v>
      </c>
      <c r="E160" s="11">
        <v>0.97</v>
      </c>
      <c r="F160" s="11">
        <v>0.97</v>
      </c>
      <c r="G160" s="11">
        <v>0.95</v>
      </c>
      <c r="H160" s="11">
        <v>0.95</v>
      </c>
      <c r="I160" s="11">
        <v>0.95</v>
      </c>
      <c r="J160" s="11">
        <v>0.94</v>
      </c>
      <c r="K160" s="11">
        <v>0.94</v>
      </c>
    </row>
    <row r="161" ht="14.25" customHeight="1">
      <c r="A161" s="11" t="s">
        <v>317</v>
      </c>
      <c r="B161" s="11" t="s">
        <v>318</v>
      </c>
    </row>
    <row r="162" ht="14.25" customHeight="1">
      <c r="A162" s="11" t="s">
        <v>319</v>
      </c>
      <c r="B162" s="11" t="s">
        <v>320</v>
      </c>
      <c r="C162" s="11">
        <v>0.98</v>
      </c>
      <c r="D162" s="11">
        <v>0.98</v>
      </c>
      <c r="E162" s="11">
        <v>0.98</v>
      </c>
      <c r="F162" s="11">
        <v>0.98</v>
      </c>
      <c r="G162" s="11">
        <v>0.98</v>
      </c>
      <c r="H162" s="11">
        <v>0.98</v>
      </c>
      <c r="I162" s="11">
        <v>0.98</v>
      </c>
      <c r="J162" s="11">
        <v>0.97</v>
      </c>
      <c r="K162" s="11">
        <v>0.97</v>
      </c>
    </row>
    <row r="163" ht="14.25" customHeight="1">
      <c r="A163" s="11" t="s">
        <v>321</v>
      </c>
      <c r="B163" s="11" t="s">
        <v>322</v>
      </c>
      <c r="C163" s="11" t="s">
        <v>502</v>
      </c>
      <c r="D163" s="11" t="s">
        <v>502</v>
      </c>
      <c r="E163" s="11" t="s">
        <v>502</v>
      </c>
      <c r="F163" s="11" t="s">
        <v>502</v>
      </c>
      <c r="G163" s="11" t="s">
        <v>502</v>
      </c>
      <c r="H163" s="11" t="s">
        <v>502</v>
      </c>
      <c r="I163" s="11">
        <v>0.96</v>
      </c>
      <c r="J163" s="11">
        <v>0.96</v>
      </c>
      <c r="K163" s="11" t="s">
        <v>502</v>
      </c>
    </row>
    <row r="164" ht="14.25" customHeight="1">
      <c r="A164" s="11" t="s">
        <v>323</v>
      </c>
      <c r="B164" s="11" t="s">
        <v>324</v>
      </c>
      <c r="C164" s="11">
        <v>0.98</v>
      </c>
      <c r="D164" s="11">
        <v>0.98</v>
      </c>
      <c r="E164" s="11">
        <v>0.98</v>
      </c>
      <c r="F164" s="11">
        <v>0.98</v>
      </c>
      <c r="G164" s="11">
        <v>0.97</v>
      </c>
      <c r="H164" s="11">
        <v>0.97</v>
      </c>
      <c r="I164" s="11">
        <v>0.97</v>
      </c>
      <c r="J164" s="11">
        <v>0.97</v>
      </c>
      <c r="K164" s="11">
        <v>0.98</v>
      </c>
    </row>
    <row r="165" ht="14.25" customHeight="1">
      <c r="A165" s="11" t="s">
        <v>325</v>
      </c>
      <c r="B165" s="11" t="s">
        <v>326</v>
      </c>
      <c r="C165" s="11">
        <v>0.97</v>
      </c>
      <c r="D165" s="11">
        <v>0.97</v>
      </c>
      <c r="E165" s="11">
        <v>0.97</v>
      </c>
      <c r="F165" s="11">
        <v>0.97</v>
      </c>
      <c r="G165" s="11">
        <v>0.98</v>
      </c>
      <c r="H165" s="11">
        <v>0.98</v>
      </c>
      <c r="I165" s="11">
        <v>0.98</v>
      </c>
      <c r="J165" s="11">
        <v>0.96</v>
      </c>
      <c r="K165" s="11">
        <v>0.96</v>
      </c>
    </row>
    <row r="166" ht="14.25" customHeight="1">
      <c r="A166" s="11" t="s">
        <v>327</v>
      </c>
      <c r="B166" s="11" t="s">
        <v>328</v>
      </c>
      <c r="C166" s="11">
        <v>0.98</v>
      </c>
      <c r="D166" s="11">
        <v>0.98</v>
      </c>
      <c r="E166" s="11">
        <v>0.98</v>
      </c>
      <c r="F166" s="11">
        <v>0.98</v>
      </c>
      <c r="G166" s="11">
        <v>0.98</v>
      </c>
      <c r="H166" s="11">
        <v>0.98</v>
      </c>
      <c r="I166" s="11">
        <v>0.98</v>
      </c>
      <c r="J166" s="11">
        <v>0.98</v>
      </c>
      <c r="K166" s="11">
        <v>0.98</v>
      </c>
    </row>
    <row r="167" ht="14.25" customHeight="1">
      <c r="A167" s="11" t="s">
        <v>329</v>
      </c>
      <c r="B167" s="11" t="s">
        <v>330</v>
      </c>
      <c r="C167" s="11">
        <v>0.98</v>
      </c>
      <c r="D167" s="11">
        <v>0.98</v>
      </c>
      <c r="E167" s="11">
        <v>0.98</v>
      </c>
      <c r="F167" s="11">
        <v>0.98</v>
      </c>
      <c r="G167" s="11">
        <v>0.98</v>
      </c>
      <c r="H167" s="11">
        <v>0.98</v>
      </c>
      <c r="I167" s="11">
        <v>0.98</v>
      </c>
      <c r="J167" s="11">
        <v>0.98</v>
      </c>
      <c r="K167" s="11">
        <v>0.98</v>
      </c>
    </row>
    <row r="168" ht="14.25" customHeight="1">
      <c r="A168" s="11" t="s">
        <v>331</v>
      </c>
      <c r="B168" s="11" t="s">
        <v>332</v>
      </c>
      <c r="C168" s="11">
        <v>0.97</v>
      </c>
      <c r="D168" s="11">
        <v>0.97</v>
      </c>
      <c r="E168" s="11">
        <v>0.97</v>
      </c>
      <c r="F168" s="11">
        <v>0.97</v>
      </c>
      <c r="G168" s="11">
        <v>0.98</v>
      </c>
      <c r="H168" s="11">
        <v>0.98</v>
      </c>
      <c r="I168" s="11">
        <v>0.98</v>
      </c>
      <c r="J168" s="11">
        <v>0.97</v>
      </c>
      <c r="K168" s="11">
        <v>0.97</v>
      </c>
    </row>
    <row r="169" ht="14.25" customHeight="1">
      <c r="A169" s="11" t="s">
        <v>333</v>
      </c>
      <c r="B169" s="11" t="s">
        <v>334</v>
      </c>
    </row>
    <row r="170" ht="14.25" customHeight="1">
      <c r="A170" s="11" t="s">
        <v>335</v>
      </c>
      <c r="B170" s="11" t="s">
        <v>336</v>
      </c>
      <c r="C170" s="11">
        <v>0.95</v>
      </c>
      <c r="D170" s="11">
        <v>0.95</v>
      </c>
      <c r="E170" s="11">
        <v>0.96</v>
      </c>
      <c r="F170" s="11">
        <v>0.96</v>
      </c>
      <c r="G170" s="11">
        <v>0.96</v>
      </c>
      <c r="H170" s="11">
        <v>0.96</v>
      </c>
      <c r="I170" s="11">
        <v>0.96</v>
      </c>
      <c r="J170" s="11">
        <v>0.95</v>
      </c>
      <c r="K170" s="11">
        <v>0.95</v>
      </c>
    </row>
    <row r="171" ht="14.25" customHeight="1">
      <c r="A171" s="11" t="s">
        <v>337</v>
      </c>
      <c r="B171" s="11" t="s">
        <v>338</v>
      </c>
      <c r="C171" s="11">
        <v>0.97</v>
      </c>
      <c r="D171" s="11">
        <v>0.97</v>
      </c>
      <c r="E171" s="11">
        <v>0.97</v>
      </c>
      <c r="F171" s="11">
        <v>0.97</v>
      </c>
      <c r="G171" s="11">
        <v>0.97</v>
      </c>
      <c r="H171" s="11">
        <v>0.97</v>
      </c>
      <c r="I171" s="11">
        <v>0.98</v>
      </c>
      <c r="J171" s="11">
        <v>0.98</v>
      </c>
      <c r="K171" s="11">
        <v>0.98</v>
      </c>
    </row>
    <row r="172" ht="14.25" customHeight="1">
      <c r="A172" s="11" t="s">
        <v>339</v>
      </c>
      <c r="B172" s="11" t="s">
        <v>340</v>
      </c>
      <c r="C172" s="11">
        <v>0.98</v>
      </c>
      <c r="D172" s="11">
        <v>0.98</v>
      </c>
      <c r="E172" s="11">
        <v>0.98</v>
      </c>
      <c r="F172" s="11">
        <v>0.98</v>
      </c>
      <c r="G172" s="11">
        <v>0.98</v>
      </c>
      <c r="H172" s="11">
        <v>0.98</v>
      </c>
      <c r="I172" s="11">
        <v>0.98</v>
      </c>
      <c r="J172" s="11">
        <v>0.98</v>
      </c>
      <c r="K172" s="11">
        <v>0.98</v>
      </c>
    </row>
    <row r="173" ht="14.25" customHeight="1">
      <c r="A173" s="11" t="s">
        <v>341</v>
      </c>
      <c r="B173" s="11" t="s">
        <v>342</v>
      </c>
    </row>
    <row r="174" ht="14.25" customHeight="1">
      <c r="A174" s="11" t="s">
        <v>343</v>
      </c>
      <c r="B174" s="11" t="s">
        <v>344</v>
      </c>
      <c r="C174" s="11">
        <v>0.98</v>
      </c>
      <c r="D174" s="11">
        <v>0.98</v>
      </c>
      <c r="E174" s="11">
        <v>0.98</v>
      </c>
      <c r="F174" s="11">
        <v>0.98</v>
      </c>
      <c r="G174" s="11">
        <v>0.98</v>
      </c>
      <c r="H174" s="11">
        <v>0.98</v>
      </c>
      <c r="I174" s="11">
        <v>0.98</v>
      </c>
      <c r="J174" s="11">
        <v>0.98</v>
      </c>
      <c r="K174" s="11">
        <v>0.98</v>
      </c>
    </row>
    <row r="175" ht="14.25" customHeight="1">
      <c r="A175" s="11" t="s">
        <v>345</v>
      </c>
      <c r="B175" s="11" t="s">
        <v>346</v>
      </c>
      <c r="C175" s="11">
        <v>0.98</v>
      </c>
      <c r="D175" s="11">
        <v>0.98</v>
      </c>
      <c r="E175" s="11">
        <v>0.98</v>
      </c>
      <c r="F175" s="11">
        <v>0.98</v>
      </c>
      <c r="G175" s="11">
        <v>0.98</v>
      </c>
      <c r="H175" s="11">
        <v>0.98</v>
      </c>
      <c r="I175" s="11">
        <v>0.98</v>
      </c>
      <c r="J175" s="11">
        <v>0.98</v>
      </c>
      <c r="K175" s="11" t="s">
        <v>502</v>
      </c>
    </row>
    <row r="176" ht="14.25" customHeight="1">
      <c r="A176" s="11" t="s">
        <v>347</v>
      </c>
      <c r="B176" s="11" t="s">
        <v>348</v>
      </c>
      <c r="C176" s="11" t="s">
        <v>502</v>
      </c>
      <c r="D176" s="11">
        <v>0.97</v>
      </c>
      <c r="E176" s="11">
        <v>0.97</v>
      </c>
      <c r="F176" s="11">
        <v>0.97</v>
      </c>
      <c r="G176" s="11">
        <v>0.98</v>
      </c>
      <c r="H176" s="11">
        <v>0.97</v>
      </c>
      <c r="I176" s="11">
        <v>0.97</v>
      </c>
      <c r="J176" s="11">
        <v>0.97</v>
      </c>
      <c r="K176" s="11">
        <v>0.97</v>
      </c>
    </row>
    <row r="177" ht="14.25" customHeight="1">
      <c r="A177" s="11" t="s">
        <v>349</v>
      </c>
      <c r="B177" s="11" t="s">
        <v>350</v>
      </c>
    </row>
    <row r="178" ht="14.25" customHeight="1">
      <c r="A178" s="11" t="s">
        <v>351</v>
      </c>
      <c r="B178" s="11" t="s">
        <v>352</v>
      </c>
    </row>
    <row r="179" ht="14.25" customHeight="1">
      <c r="A179" s="11" t="s">
        <v>353</v>
      </c>
      <c r="B179" s="11" t="s">
        <v>354</v>
      </c>
    </row>
    <row r="180" ht="14.25" customHeight="1">
      <c r="A180" s="11" t="s">
        <v>355</v>
      </c>
      <c r="B180" s="11" t="s">
        <v>356</v>
      </c>
    </row>
    <row r="181" ht="14.25" customHeight="1">
      <c r="A181" s="11" t="s">
        <v>357</v>
      </c>
      <c r="B181" s="11" t="s">
        <v>358</v>
      </c>
    </row>
    <row r="182" ht="14.25" customHeight="1">
      <c r="A182" s="11" t="s">
        <v>359</v>
      </c>
      <c r="B182" s="11" t="s">
        <v>360</v>
      </c>
    </row>
    <row r="183" ht="14.25" customHeight="1">
      <c r="A183" s="11" t="s">
        <v>361</v>
      </c>
      <c r="B183" s="11" t="s">
        <v>362</v>
      </c>
    </row>
    <row r="184" ht="14.25" customHeight="1">
      <c r="A184" s="11" t="s">
        <v>363</v>
      </c>
      <c r="B184" s="11" t="s">
        <v>364</v>
      </c>
    </row>
    <row r="185" ht="14.25" customHeight="1">
      <c r="A185" s="11" t="s">
        <v>365</v>
      </c>
      <c r="B185" s="11" t="s">
        <v>366</v>
      </c>
    </row>
    <row r="186" ht="14.25" customHeight="1">
      <c r="A186" s="11" t="s">
        <v>367</v>
      </c>
      <c r="B186" s="11" t="s">
        <v>368</v>
      </c>
    </row>
    <row r="187" ht="14.25" customHeight="1">
      <c r="A187" s="11" t="s">
        <v>369</v>
      </c>
      <c r="B187" s="11" t="s">
        <v>370</v>
      </c>
      <c r="C187" s="11">
        <v>0.98</v>
      </c>
      <c r="D187" s="11">
        <v>0.97</v>
      </c>
      <c r="E187" s="11">
        <v>0.97</v>
      </c>
      <c r="F187" s="11">
        <v>0.97</v>
      </c>
      <c r="G187" s="11">
        <v>0.96</v>
      </c>
      <c r="H187" s="11">
        <v>0.96</v>
      </c>
      <c r="I187" s="11">
        <v>0.96</v>
      </c>
      <c r="J187" s="11">
        <v>0.96</v>
      </c>
      <c r="K187" s="11">
        <v>0.96</v>
      </c>
    </row>
    <row r="188" ht="14.25" customHeight="1">
      <c r="A188" s="11" t="s">
        <v>371</v>
      </c>
      <c r="B188" s="11" t="s">
        <v>372</v>
      </c>
      <c r="C188" s="11">
        <v>0.97</v>
      </c>
      <c r="D188" s="11">
        <v>0.97</v>
      </c>
      <c r="E188" s="11">
        <v>0.97</v>
      </c>
      <c r="F188" s="11">
        <v>0.97</v>
      </c>
      <c r="G188" s="11">
        <v>0.97</v>
      </c>
      <c r="H188" s="11">
        <v>0.98</v>
      </c>
      <c r="I188" s="11">
        <v>0.98</v>
      </c>
      <c r="J188" s="11">
        <v>0.97</v>
      </c>
      <c r="K188" s="11">
        <v>0.97</v>
      </c>
    </row>
    <row r="189" ht="14.25" customHeight="1">
      <c r="A189" s="11" t="s">
        <v>373</v>
      </c>
      <c r="B189" s="11" t="s">
        <v>374</v>
      </c>
      <c r="C189" s="11">
        <v>0.96</v>
      </c>
      <c r="D189" s="11">
        <v>0.97</v>
      </c>
      <c r="E189" s="11">
        <v>0.97</v>
      </c>
      <c r="F189" s="11">
        <v>0.97</v>
      </c>
      <c r="G189" s="11">
        <v>0.98</v>
      </c>
      <c r="H189" s="11">
        <v>0.98</v>
      </c>
      <c r="I189" s="11">
        <v>0.97</v>
      </c>
      <c r="J189" s="11">
        <v>0.97</v>
      </c>
      <c r="K189" s="11">
        <v>0.97</v>
      </c>
    </row>
    <row r="190" ht="14.25" customHeight="1">
      <c r="A190" s="11" t="s">
        <v>375</v>
      </c>
      <c r="B190" s="11" t="s">
        <v>376</v>
      </c>
    </row>
    <row r="191" ht="14.25" customHeight="1">
      <c r="A191" s="11" t="s">
        <v>377</v>
      </c>
      <c r="B191" s="11" t="s">
        <v>378</v>
      </c>
      <c r="C191" s="11" t="s">
        <v>502</v>
      </c>
      <c r="D191" s="11" t="s">
        <v>502</v>
      </c>
      <c r="E191" s="11" t="s">
        <v>502</v>
      </c>
      <c r="F191" s="11" t="s">
        <v>502</v>
      </c>
      <c r="G191" s="11" t="s">
        <v>502</v>
      </c>
      <c r="H191" s="11">
        <v>0.97</v>
      </c>
      <c r="I191" s="11">
        <v>0.97</v>
      </c>
      <c r="J191" s="11">
        <v>0.97</v>
      </c>
      <c r="K191" s="11">
        <v>0.97</v>
      </c>
    </row>
    <row r="192" ht="14.25" customHeight="1">
      <c r="A192" s="11" t="s">
        <v>379</v>
      </c>
      <c r="B192" s="11" t="s">
        <v>380</v>
      </c>
      <c r="C192" s="11">
        <v>0.97</v>
      </c>
      <c r="D192" s="11">
        <v>0.97</v>
      </c>
      <c r="E192" s="11">
        <v>0.97</v>
      </c>
      <c r="F192" s="11">
        <v>0.97</v>
      </c>
      <c r="G192" s="11">
        <v>0.97</v>
      </c>
      <c r="H192" s="11">
        <v>0.96</v>
      </c>
      <c r="I192" s="11">
        <v>0.96</v>
      </c>
      <c r="J192" s="11">
        <v>0.96</v>
      </c>
      <c r="K192" s="11">
        <v>0.96</v>
      </c>
    </row>
    <row r="193" ht="14.25" customHeight="1">
      <c r="A193" s="11" t="s">
        <v>381</v>
      </c>
      <c r="B193" s="11" t="s">
        <v>382</v>
      </c>
    </row>
    <row r="194" ht="14.25" customHeight="1">
      <c r="A194" s="11" t="s">
        <v>383</v>
      </c>
      <c r="B194" s="11" t="s">
        <v>384</v>
      </c>
      <c r="C194" s="11">
        <v>0.98</v>
      </c>
      <c r="D194" s="11">
        <v>0.97</v>
      </c>
      <c r="E194" s="11">
        <v>0.97</v>
      </c>
      <c r="F194" s="11">
        <v>0.97</v>
      </c>
      <c r="G194" s="11">
        <v>0.98</v>
      </c>
      <c r="H194" s="11">
        <v>0.98</v>
      </c>
      <c r="I194" s="11">
        <v>0.98</v>
      </c>
      <c r="J194" s="11">
        <v>0.98</v>
      </c>
      <c r="K194" s="11">
        <v>0.98</v>
      </c>
    </row>
    <row r="195" ht="14.25" customHeight="1">
      <c r="A195" s="11" t="s">
        <v>385</v>
      </c>
      <c r="B195" s="11" t="s">
        <v>386</v>
      </c>
      <c r="C195" s="11">
        <v>0.97</v>
      </c>
      <c r="D195" s="11">
        <v>0.97</v>
      </c>
      <c r="E195" s="11">
        <v>0.97</v>
      </c>
      <c r="F195" s="11">
        <v>0.97</v>
      </c>
      <c r="G195" s="11">
        <v>0.98</v>
      </c>
      <c r="H195" s="11">
        <v>0.98</v>
      </c>
      <c r="I195" s="11">
        <v>0.98</v>
      </c>
      <c r="J195" s="11">
        <v>0.98</v>
      </c>
      <c r="K195" s="11">
        <v>0.98</v>
      </c>
    </row>
    <row r="196" ht="14.25" customHeight="1">
      <c r="A196" s="11" t="s">
        <v>387</v>
      </c>
      <c r="B196" s="11" t="s">
        <v>388</v>
      </c>
    </row>
    <row r="197" ht="14.25" customHeight="1">
      <c r="A197" s="11" t="s">
        <v>389</v>
      </c>
      <c r="B197" s="11" t="s">
        <v>390</v>
      </c>
    </row>
    <row r="198" ht="14.25" customHeight="1">
      <c r="A198" s="11" t="s">
        <v>391</v>
      </c>
      <c r="B198" s="11" t="s">
        <v>392</v>
      </c>
      <c r="C198" s="11">
        <v>0.97</v>
      </c>
      <c r="D198" s="11">
        <v>0.98</v>
      </c>
      <c r="E198" s="11">
        <v>0.98</v>
      </c>
      <c r="F198" s="11">
        <v>0.98</v>
      </c>
      <c r="G198" s="11">
        <v>0.98</v>
      </c>
      <c r="H198" s="11">
        <v>0.98</v>
      </c>
      <c r="I198" s="11">
        <v>0.98</v>
      </c>
      <c r="J198" s="11">
        <v>0.98</v>
      </c>
      <c r="K198" s="11">
        <v>0.98</v>
      </c>
    </row>
    <row r="199" ht="14.25" customHeight="1">
      <c r="A199" s="11" t="s">
        <v>393</v>
      </c>
      <c r="B199" s="11" t="s">
        <v>394</v>
      </c>
    </row>
    <row r="200" ht="14.25" customHeight="1">
      <c r="A200" s="11" t="s">
        <v>395</v>
      </c>
      <c r="B200" s="11" t="s">
        <v>396</v>
      </c>
      <c r="C200" s="11">
        <v>0.97</v>
      </c>
      <c r="D200" s="11">
        <v>0.97</v>
      </c>
      <c r="E200" s="11">
        <v>0.97</v>
      </c>
      <c r="F200" s="11">
        <v>0.97</v>
      </c>
      <c r="G200" s="11">
        <v>0.97</v>
      </c>
      <c r="H200" s="11">
        <v>0.97</v>
      </c>
      <c r="I200" s="11">
        <v>0.97</v>
      </c>
      <c r="J200" s="11">
        <v>0.96</v>
      </c>
      <c r="K200" s="11">
        <v>0.96</v>
      </c>
    </row>
    <row r="201" ht="14.25" customHeight="1">
      <c r="A201" s="11" t="s">
        <v>397</v>
      </c>
      <c r="B201" s="11" t="s">
        <v>398</v>
      </c>
      <c r="C201" s="11">
        <v>0.98</v>
      </c>
      <c r="D201" s="11">
        <v>0.98</v>
      </c>
      <c r="E201" s="11">
        <v>0.98</v>
      </c>
      <c r="F201" s="11">
        <v>0.98</v>
      </c>
      <c r="G201" s="11">
        <v>0.98</v>
      </c>
      <c r="H201" s="11">
        <v>0.98</v>
      </c>
      <c r="I201" s="11">
        <v>0.98</v>
      </c>
      <c r="J201" s="11">
        <v>0.98</v>
      </c>
      <c r="K201" s="11">
        <v>0.98</v>
      </c>
    </row>
    <row r="202" ht="14.25" customHeight="1">
      <c r="A202" s="11" t="s">
        <v>474</v>
      </c>
      <c r="B202" s="11" t="s">
        <v>400</v>
      </c>
    </row>
    <row r="203" ht="14.25" customHeight="1">
      <c r="A203" s="11" t="s">
        <v>401</v>
      </c>
      <c r="B203" s="11" t="s">
        <v>402</v>
      </c>
    </row>
    <row r="204" ht="14.25" customHeight="1">
      <c r="A204" s="11" t="s">
        <v>403</v>
      </c>
      <c r="B204" s="11" t="s">
        <v>404</v>
      </c>
      <c r="C204" s="11">
        <v>0.98</v>
      </c>
      <c r="D204" s="11">
        <v>0.98</v>
      </c>
      <c r="E204" s="11">
        <v>0.98</v>
      </c>
      <c r="F204" s="11">
        <v>0.98</v>
      </c>
      <c r="G204" s="11">
        <v>0.97</v>
      </c>
      <c r="H204" s="11">
        <v>0.97</v>
      </c>
      <c r="I204" s="11">
        <v>0.97</v>
      </c>
      <c r="J204" s="11">
        <v>0.97</v>
      </c>
      <c r="K204" s="11">
        <v>0.97</v>
      </c>
    </row>
    <row r="205" ht="14.25" customHeight="1">
      <c r="A205" s="11" t="s">
        <v>405</v>
      </c>
      <c r="B205" s="11" t="s">
        <v>406</v>
      </c>
      <c r="C205" s="11">
        <v>0.97</v>
      </c>
      <c r="D205" s="11">
        <v>0.97</v>
      </c>
      <c r="E205" s="11">
        <v>0.97</v>
      </c>
      <c r="F205" s="11">
        <v>0.97</v>
      </c>
      <c r="G205" s="11">
        <v>0.97</v>
      </c>
      <c r="H205" s="11">
        <v>0.97</v>
      </c>
      <c r="I205" s="11">
        <v>0.97</v>
      </c>
      <c r="J205" s="11">
        <v>0.96</v>
      </c>
      <c r="K205" s="11">
        <v>0.96</v>
      </c>
    </row>
    <row r="206" ht="14.25" customHeight="1">
      <c r="A206" s="11" t="s">
        <v>407</v>
      </c>
      <c r="B206" s="11" t="s">
        <v>408</v>
      </c>
      <c r="C206" s="11">
        <v>0.97</v>
      </c>
      <c r="D206" s="11">
        <v>0.97</v>
      </c>
      <c r="E206" s="11">
        <v>0.97</v>
      </c>
      <c r="F206" s="11">
        <v>0.97</v>
      </c>
      <c r="G206" s="11">
        <v>0.97</v>
      </c>
      <c r="H206" s="11">
        <v>0.97</v>
      </c>
      <c r="I206" s="11">
        <v>0.97</v>
      </c>
      <c r="J206" s="11">
        <v>0.96</v>
      </c>
      <c r="K206" s="11">
        <v>0.96</v>
      </c>
    </row>
    <row r="207" ht="14.25" customHeight="1">
      <c r="A207" s="11" t="s">
        <v>409</v>
      </c>
      <c r="B207" s="11" t="s">
        <v>410</v>
      </c>
      <c r="C207" s="11">
        <v>0.98</v>
      </c>
      <c r="D207" s="11">
        <v>0.98</v>
      </c>
      <c r="E207" s="11">
        <v>0.97</v>
      </c>
      <c r="F207" s="11">
        <v>0.97</v>
      </c>
      <c r="G207" s="11">
        <v>0.98</v>
      </c>
      <c r="H207" s="11">
        <v>0.98</v>
      </c>
      <c r="I207" s="11">
        <v>0.98</v>
      </c>
      <c r="J207" s="11">
        <v>0.96</v>
      </c>
      <c r="K207" s="11" t="s">
        <v>502</v>
      </c>
    </row>
    <row r="208" ht="14.25" customHeight="1">
      <c r="A208" s="11" t="s">
        <v>411</v>
      </c>
      <c r="B208" s="11" t="s">
        <v>412</v>
      </c>
      <c r="C208" s="11">
        <v>0.96</v>
      </c>
      <c r="D208" s="11">
        <v>0.97</v>
      </c>
      <c r="E208" s="11">
        <v>0.97</v>
      </c>
      <c r="F208" s="11">
        <v>0.97</v>
      </c>
      <c r="G208" s="11">
        <v>0.98</v>
      </c>
      <c r="H208" s="11">
        <v>0.98</v>
      </c>
      <c r="I208" s="11">
        <v>0.98</v>
      </c>
      <c r="J208" s="11">
        <v>0.97</v>
      </c>
      <c r="K208" s="11">
        <v>0.97</v>
      </c>
    </row>
    <row r="209" ht="14.25" customHeight="1">
      <c r="A209" s="11" t="s">
        <v>413</v>
      </c>
      <c r="B209" s="11" t="s">
        <v>414</v>
      </c>
      <c r="C209" s="11">
        <v>0.98</v>
      </c>
      <c r="D209" s="11">
        <v>0.98</v>
      </c>
      <c r="E209" s="11">
        <v>0.98</v>
      </c>
      <c r="F209" s="11">
        <v>0.98</v>
      </c>
      <c r="G209" s="11">
        <v>0.98</v>
      </c>
      <c r="H209" s="11">
        <v>0.98</v>
      </c>
      <c r="I209" s="11">
        <v>0.98</v>
      </c>
      <c r="J209" s="11">
        <v>0.98</v>
      </c>
      <c r="K209" s="11">
        <v>0.98</v>
      </c>
    </row>
    <row r="210" ht="14.25" customHeight="1">
      <c r="A210" s="11" t="s">
        <v>415</v>
      </c>
      <c r="B210" s="11" t="s">
        <v>416</v>
      </c>
      <c r="C210" s="11" t="s">
        <v>502</v>
      </c>
      <c r="D210" s="11" t="s">
        <v>502</v>
      </c>
      <c r="E210" s="11" t="s">
        <v>502</v>
      </c>
      <c r="F210" s="11">
        <v>0.97</v>
      </c>
      <c r="G210" s="11">
        <v>0.98</v>
      </c>
      <c r="H210" s="11">
        <v>0.98</v>
      </c>
      <c r="I210" s="11">
        <v>0.98</v>
      </c>
      <c r="J210" s="11">
        <v>0.97</v>
      </c>
      <c r="K210" s="11">
        <v>0.97</v>
      </c>
    </row>
    <row r="211" ht="14.25" customHeight="1">
      <c r="A211" s="11" t="s">
        <v>417</v>
      </c>
      <c r="B211" s="11" t="s">
        <v>418</v>
      </c>
      <c r="C211" s="11" t="s">
        <v>502</v>
      </c>
      <c r="D211" s="11" t="s">
        <v>502</v>
      </c>
      <c r="E211" s="11" t="s">
        <v>502</v>
      </c>
      <c r="F211" s="11" t="s">
        <v>502</v>
      </c>
      <c r="G211" s="11" t="s">
        <v>502</v>
      </c>
      <c r="H211" s="11">
        <v>0.96</v>
      </c>
      <c r="I211" s="11">
        <v>0.96</v>
      </c>
      <c r="J211" s="11">
        <v>0.98</v>
      </c>
      <c r="K211" s="11">
        <v>0.98</v>
      </c>
    </row>
    <row r="212" ht="14.25" customHeight="1">
      <c r="A212" s="11" t="s">
        <v>419</v>
      </c>
      <c r="B212" s="11" t="s">
        <v>420</v>
      </c>
    </row>
    <row r="213" ht="14.25" customHeight="1">
      <c r="A213" s="11" t="s">
        <v>421</v>
      </c>
      <c r="B213" s="11" t="s">
        <v>422</v>
      </c>
    </row>
    <row r="214" ht="14.25" customHeight="1">
      <c r="A214" s="11" t="s">
        <v>423</v>
      </c>
      <c r="B214" s="11" t="s">
        <v>424</v>
      </c>
      <c r="C214" s="11">
        <v>0.95</v>
      </c>
      <c r="D214" s="11">
        <v>0.98</v>
      </c>
      <c r="E214" s="11">
        <v>0.98</v>
      </c>
      <c r="F214" s="11">
        <v>0.98</v>
      </c>
      <c r="G214" s="11" t="s">
        <v>502</v>
      </c>
      <c r="H214" s="11" t="s">
        <v>502</v>
      </c>
      <c r="I214" s="11">
        <v>0.98</v>
      </c>
      <c r="J214" s="11">
        <v>0.98</v>
      </c>
      <c r="K214" s="11" t="s">
        <v>502</v>
      </c>
    </row>
    <row r="215" ht="14.25" customHeight="1">
      <c r="A215" s="11" t="s">
        <v>425</v>
      </c>
      <c r="B215" s="11" t="s">
        <v>426</v>
      </c>
      <c r="C215" s="11" t="s">
        <v>502</v>
      </c>
      <c r="D215" s="11">
        <v>0.96</v>
      </c>
      <c r="E215" s="11">
        <v>0.97</v>
      </c>
      <c r="F215" s="11">
        <v>0.97</v>
      </c>
      <c r="G215" s="11">
        <v>0.98</v>
      </c>
      <c r="H215" s="11">
        <v>0.97</v>
      </c>
      <c r="I215" s="11">
        <v>0.97</v>
      </c>
      <c r="J215" s="11">
        <v>0.97</v>
      </c>
      <c r="K215" s="11">
        <v>0.97</v>
      </c>
    </row>
    <row r="216" ht="14.25" customHeight="1">
      <c r="A216" s="11" t="s">
        <v>427</v>
      </c>
      <c r="B216" s="11" t="s">
        <v>428</v>
      </c>
      <c r="C216" s="11">
        <v>0.98</v>
      </c>
      <c r="D216" s="11">
        <v>0.98</v>
      </c>
      <c r="E216" s="11">
        <v>0.98</v>
      </c>
      <c r="F216" s="11">
        <v>0.98</v>
      </c>
      <c r="G216" s="11">
        <v>0.98</v>
      </c>
      <c r="H216" s="11">
        <v>0.98</v>
      </c>
      <c r="I216" s="11">
        <v>0.98</v>
      </c>
      <c r="J216" s="11">
        <v>0.97</v>
      </c>
      <c r="K216" s="11">
        <v>0.97</v>
      </c>
    </row>
    <row r="217" ht="14.25" customHeight="1">
      <c r="A217" s="11" t="s">
        <v>429</v>
      </c>
      <c r="B217" s="11" t="s">
        <v>430</v>
      </c>
    </row>
    <row r="218" ht="14.25" customHeight="1">
      <c r="A218" s="11" t="s">
        <v>431</v>
      </c>
      <c r="B218" s="11" t="s">
        <v>432</v>
      </c>
    </row>
    <row r="219" ht="14.25" customHeight="1">
      <c r="A219" s="11" t="s">
        <v>433</v>
      </c>
      <c r="B219" s="11" t="s">
        <v>434</v>
      </c>
    </row>
    <row r="220" ht="14.25" customHeight="1">
      <c r="A220" s="11" t="s">
        <v>435</v>
      </c>
      <c r="B220" s="11" t="s">
        <v>436</v>
      </c>
      <c r="C220" s="11">
        <v>0.98</v>
      </c>
      <c r="D220" s="11">
        <v>0.97</v>
      </c>
      <c r="E220" s="11">
        <v>0.98</v>
      </c>
      <c r="F220" s="11">
        <v>0.98</v>
      </c>
      <c r="G220" s="11">
        <v>0.97</v>
      </c>
      <c r="H220" s="11">
        <v>0.98</v>
      </c>
      <c r="I220" s="11">
        <v>0.98</v>
      </c>
      <c r="J220" s="11">
        <v>0.98</v>
      </c>
      <c r="K220" s="11">
        <v>0.98</v>
      </c>
    </row>
    <row r="221" ht="14.25" customHeight="1">
      <c r="A221" s="11" t="s">
        <v>437</v>
      </c>
      <c r="B221" s="11" t="s">
        <v>438</v>
      </c>
      <c r="C221" s="11">
        <v>0.97</v>
      </c>
      <c r="D221" s="11">
        <v>0.97</v>
      </c>
      <c r="E221" s="11">
        <v>0.98</v>
      </c>
      <c r="F221" s="11">
        <v>0.98</v>
      </c>
      <c r="G221" s="11">
        <v>0.98</v>
      </c>
      <c r="H221" s="11">
        <v>0.98</v>
      </c>
      <c r="I221" s="11">
        <v>0.98</v>
      </c>
      <c r="J221" s="11">
        <v>0.98</v>
      </c>
      <c r="K221" s="11">
        <v>0.98</v>
      </c>
    </row>
    <row r="222" ht="14.25" customHeight="1">
      <c r="A222" s="11" t="s">
        <v>439</v>
      </c>
      <c r="B222" s="11" t="s">
        <v>440</v>
      </c>
      <c r="C222" s="11">
        <v>0.96</v>
      </c>
      <c r="D222" s="11">
        <v>0.96</v>
      </c>
      <c r="E222" s="11">
        <v>0.96</v>
      </c>
      <c r="F222" s="11">
        <v>0.96</v>
      </c>
      <c r="G222" s="11">
        <v>0.96</v>
      </c>
      <c r="H222" s="11">
        <v>0.97</v>
      </c>
      <c r="I222" s="11">
        <v>0.97</v>
      </c>
      <c r="J222" s="11">
        <v>0.96</v>
      </c>
      <c r="K222" s="11">
        <v>0.96</v>
      </c>
    </row>
    <row r="223" ht="14.25" customHeight="1">
      <c r="A223" s="11" t="s">
        <v>475</v>
      </c>
      <c r="B223" s="11" t="s">
        <v>442</v>
      </c>
      <c r="C223" s="11">
        <v>0.97</v>
      </c>
      <c r="D223" s="11">
        <v>0.97</v>
      </c>
      <c r="E223" s="11">
        <v>0.97</v>
      </c>
      <c r="F223" s="11">
        <v>0.97</v>
      </c>
      <c r="G223" s="11">
        <v>0.97</v>
      </c>
      <c r="H223" s="11">
        <v>0.97</v>
      </c>
      <c r="I223" s="11">
        <v>0.97</v>
      </c>
      <c r="J223" s="11">
        <v>0.97</v>
      </c>
      <c r="K223" s="11">
        <v>0.96</v>
      </c>
    </row>
    <row r="224" ht="14.25" customHeight="1">
      <c r="A224" s="11" t="s">
        <v>443</v>
      </c>
      <c r="B224" s="11" t="s">
        <v>444</v>
      </c>
      <c r="C224" s="11">
        <v>0.96</v>
      </c>
      <c r="D224" s="11">
        <v>0.97</v>
      </c>
      <c r="E224" s="11">
        <v>0.98</v>
      </c>
      <c r="F224" s="11">
        <v>0.98</v>
      </c>
      <c r="G224" s="11">
        <v>0.98</v>
      </c>
      <c r="H224" s="11">
        <v>0.98</v>
      </c>
      <c r="I224" s="11">
        <v>0.98</v>
      </c>
      <c r="J224" s="11">
        <v>0.97</v>
      </c>
      <c r="K224" s="11">
        <v>0.97</v>
      </c>
    </row>
    <row r="225" ht="14.25" customHeight="1">
      <c r="A225" s="11" t="s">
        <v>445</v>
      </c>
      <c r="B225" s="11" t="s">
        <v>446</v>
      </c>
    </row>
    <row r="226" ht="14.25" customHeight="1">
      <c r="A226" s="11" t="s">
        <v>447</v>
      </c>
      <c r="B226" s="11" t="s">
        <v>448</v>
      </c>
      <c r="C226" s="11">
        <v>0.98</v>
      </c>
      <c r="D226" s="11">
        <v>0.97</v>
      </c>
      <c r="E226" s="11">
        <v>0.98</v>
      </c>
      <c r="F226" s="11">
        <v>0.98</v>
      </c>
      <c r="G226" s="11">
        <v>0.97</v>
      </c>
      <c r="H226" s="11">
        <v>0.98</v>
      </c>
      <c r="I226" s="11">
        <v>0.98</v>
      </c>
      <c r="J226" s="11">
        <v>0.97</v>
      </c>
      <c r="K226" s="11">
        <v>0.97</v>
      </c>
    </row>
    <row r="227" ht="14.25" customHeight="1">
      <c r="A227" s="11" t="s">
        <v>449</v>
      </c>
      <c r="B227" s="11" t="s">
        <v>450</v>
      </c>
      <c r="C227" s="11">
        <v>0.98</v>
      </c>
      <c r="D227" s="11">
        <v>0.98</v>
      </c>
      <c r="E227" s="11">
        <v>0.98</v>
      </c>
      <c r="F227" s="11">
        <v>0.98</v>
      </c>
      <c r="G227" s="11">
        <v>0.98</v>
      </c>
      <c r="H227" s="11">
        <v>0.98</v>
      </c>
      <c r="I227" s="11">
        <v>0.98</v>
      </c>
      <c r="J227" s="11">
        <v>0.98</v>
      </c>
      <c r="K227" s="11">
        <v>0.98</v>
      </c>
    </row>
    <row r="228" ht="14.25" customHeight="1">
      <c r="A228" s="11" t="s">
        <v>451</v>
      </c>
      <c r="B228" s="11" t="s">
        <v>452</v>
      </c>
      <c r="C228" s="11" t="s">
        <v>502</v>
      </c>
      <c r="D228" s="11" t="s">
        <v>502</v>
      </c>
      <c r="E228" s="11" t="s">
        <v>502</v>
      </c>
      <c r="F228" s="11" t="s">
        <v>502</v>
      </c>
      <c r="G228" s="11" t="s">
        <v>502</v>
      </c>
      <c r="H228" s="11" t="s">
        <v>502</v>
      </c>
      <c r="I228" s="11" t="s">
        <v>502</v>
      </c>
      <c r="J228" s="11" t="s">
        <v>502</v>
      </c>
      <c r="K228" s="11" t="s">
        <v>502</v>
      </c>
    </row>
    <row r="229" ht="14.25" customHeight="1">
      <c r="A229" s="11" t="s">
        <v>453</v>
      </c>
      <c r="B229" s="11" t="s">
        <v>454</v>
      </c>
      <c r="C229" s="11" t="s">
        <v>502</v>
      </c>
      <c r="D229" s="11" t="s">
        <v>502</v>
      </c>
      <c r="E229" s="11" t="s">
        <v>502</v>
      </c>
      <c r="F229" s="11" t="s">
        <v>502</v>
      </c>
      <c r="G229" s="11" t="s">
        <v>502</v>
      </c>
      <c r="H229" s="11" t="s">
        <v>502</v>
      </c>
      <c r="I229" s="11">
        <v>0.97</v>
      </c>
      <c r="J229" s="11">
        <v>0.98</v>
      </c>
      <c r="K229" s="11">
        <v>0.98</v>
      </c>
    </row>
    <row r="230" ht="14.25" customHeight="1">
      <c r="A230" s="11" t="s">
        <v>455</v>
      </c>
      <c r="B230" s="11" t="s">
        <v>456</v>
      </c>
      <c r="C230" s="11">
        <v>0.98</v>
      </c>
      <c r="D230" s="11">
        <v>0.98</v>
      </c>
      <c r="E230" s="11">
        <v>0.98</v>
      </c>
      <c r="F230" s="11">
        <v>0.98</v>
      </c>
      <c r="G230" s="11">
        <v>0.98</v>
      </c>
      <c r="H230" s="11">
        <v>0.98</v>
      </c>
      <c r="I230" s="11">
        <v>0.98</v>
      </c>
      <c r="J230" s="11">
        <v>0.98</v>
      </c>
      <c r="K230" s="11" t="s">
        <v>502</v>
      </c>
    </row>
    <row r="231" ht="14.25" customHeight="1">
      <c r="A231" s="11" t="s">
        <v>457</v>
      </c>
      <c r="B231" s="11" t="s">
        <v>458</v>
      </c>
      <c r="C231" s="11">
        <v>0.94</v>
      </c>
      <c r="D231" s="11">
        <v>0.94</v>
      </c>
      <c r="E231" s="11">
        <v>0.95</v>
      </c>
      <c r="F231" s="11">
        <v>0.95</v>
      </c>
      <c r="G231" s="11">
        <v>0.96</v>
      </c>
      <c r="H231" s="11">
        <v>0.96</v>
      </c>
      <c r="I231" s="11">
        <v>0.94</v>
      </c>
      <c r="J231" s="11">
        <v>0.94</v>
      </c>
      <c r="K231" s="11">
        <v>0.95</v>
      </c>
    </row>
    <row r="232" ht="14.25" customHeight="1">
      <c r="A232" s="11" t="s">
        <v>459</v>
      </c>
      <c r="B232" s="11" t="s">
        <v>460</v>
      </c>
    </row>
    <row r="233" ht="14.25" customHeight="1">
      <c r="A233" s="11" t="s">
        <v>461</v>
      </c>
      <c r="B233" s="11" t="s">
        <v>462</v>
      </c>
    </row>
    <row r="234" ht="14.25" customHeight="1">
      <c r="A234" s="11" t="s">
        <v>463</v>
      </c>
      <c r="B234" s="11" t="s">
        <v>464</v>
      </c>
      <c r="C234" s="11">
        <v>0.97</v>
      </c>
      <c r="D234" s="11">
        <v>0.97</v>
      </c>
      <c r="E234" s="11">
        <v>0.97</v>
      </c>
      <c r="F234" s="11">
        <v>0.97</v>
      </c>
      <c r="G234" s="11">
        <v>0.97</v>
      </c>
      <c r="H234" s="11">
        <v>0.97</v>
      </c>
      <c r="I234" s="11">
        <v>0.97</v>
      </c>
      <c r="J234" s="11">
        <v>0.97</v>
      </c>
      <c r="K234" s="11" t="s">
        <v>502</v>
      </c>
    </row>
    <row r="235" ht="14.25" customHeight="1">
      <c r="A235" s="11" t="s">
        <v>465</v>
      </c>
      <c r="B235" s="11" t="s">
        <v>466</v>
      </c>
      <c r="C235" s="11">
        <v>0.97</v>
      </c>
      <c r="D235" s="11">
        <v>0.97</v>
      </c>
      <c r="E235" s="11">
        <v>0.97</v>
      </c>
      <c r="F235" s="11" t="s">
        <v>502</v>
      </c>
      <c r="G235" s="11" t="s">
        <v>502</v>
      </c>
      <c r="H235" s="11" t="s">
        <v>502</v>
      </c>
      <c r="I235" s="11">
        <v>0.98</v>
      </c>
      <c r="J235" s="11">
        <v>0.98</v>
      </c>
      <c r="K235" s="11">
        <v>0.98</v>
      </c>
    </row>
    <row r="236" ht="14.25" customHeight="1">
      <c r="A236" s="11" t="s">
        <v>467</v>
      </c>
      <c r="B236" s="11" t="s">
        <v>468</v>
      </c>
      <c r="C236" s="11" t="s">
        <v>502</v>
      </c>
      <c r="D236" s="11">
        <v>0.98</v>
      </c>
      <c r="E236" s="11">
        <v>0.98</v>
      </c>
      <c r="F236" s="11">
        <v>0.98</v>
      </c>
      <c r="G236" s="11">
        <v>0.98</v>
      </c>
      <c r="H236" s="11">
        <v>0.98</v>
      </c>
      <c r="I236" s="11">
        <v>0.98</v>
      </c>
      <c r="J236" s="11">
        <v>0.98</v>
      </c>
      <c r="K236" s="11">
        <v>0.98</v>
      </c>
    </row>
    <row r="237" ht="14.25" customHeight="1"/>
    <row r="238" ht="14.25" customHeight="1">
      <c r="A238" s="11" t="s">
        <v>477</v>
      </c>
      <c r="C238" s="11">
        <v>135.0</v>
      </c>
      <c r="D238" s="11">
        <v>142.0</v>
      </c>
      <c r="E238" s="11">
        <v>145.0</v>
      </c>
      <c r="F238" s="11">
        <v>144.0</v>
      </c>
      <c r="G238" s="11">
        <v>144.0</v>
      </c>
      <c r="H238" s="11">
        <v>148.0</v>
      </c>
      <c r="I238" s="11">
        <v>153.0</v>
      </c>
      <c r="J238" s="11">
        <v>156.0</v>
      </c>
      <c r="K238" s="11">
        <v>146.0</v>
      </c>
    </row>
    <row r="239" ht="14.2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</row>
    <row r="240" ht="14.25" customHeight="1"/>
    <row r="241" ht="14.2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</row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1:K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27.0"/>
    <col customWidth="1" min="2" max="11" width="11.88"/>
    <col customWidth="1" min="12" max="26" width="8.63"/>
  </cols>
  <sheetData>
    <row r="1" ht="14.25" customHeight="1">
      <c r="C1" s="41" t="s">
        <v>503</v>
      </c>
      <c r="D1" s="3"/>
      <c r="E1" s="3"/>
      <c r="F1" s="3"/>
      <c r="G1" s="3"/>
      <c r="H1" s="3"/>
      <c r="I1" s="3"/>
      <c r="J1" s="3"/>
      <c r="K1" s="4"/>
    </row>
    <row r="2" ht="14.25" customHeight="1">
      <c r="A2" s="38" t="s">
        <v>504</v>
      </c>
      <c r="B2" s="38" t="s">
        <v>505</v>
      </c>
      <c r="C2" s="42" t="s">
        <v>506</v>
      </c>
      <c r="D2" s="42" t="s">
        <v>507</v>
      </c>
      <c r="E2" s="42" t="s">
        <v>508</v>
      </c>
      <c r="F2" s="42" t="s">
        <v>509</v>
      </c>
      <c r="G2" s="42" t="s">
        <v>510</v>
      </c>
      <c r="H2" s="42" t="s">
        <v>511</v>
      </c>
      <c r="I2" s="42" t="s">
        <v>512</v>
      </c>
      <c r="J2" s="42" t="s">
        <v>513</v>
      </c>
      <c r="K2" s="42" t="s">
        <v>514</v>
      </c>
      <c r="L2" s="42"/>
      <c r="M2" s="42"/>
    </row>
    <row r="3" ht="14.25" customHeight="1">
      <c r="A3" s="11" t="s">
        <v>3</v>
      </c>
      <c r="B3" s="43" t="s">
        <v>4</v>
      </c>
      <c r="C3" s="44">
        <v>8.0</v>
      </c>
      <c r="D3" s="44">
        <v>6.5</v>
      </c>
      <c r="E3" s="44">
        <v>5.5</v>
      </c>
      <c r="F3" s="44">
        <v>6.0</v>
      </c>
      <c r="G3" s="11">
        <v>6.5</v>
      </c>
      <c r="H3" s="11">
        <v>6.5</v>
      </c>
      <c r="I3" s="11">
        <v>6.3</v>
      </c>
      <c r="J3" s="11">
        <v>6.8</v>
      </c>
      <c r="K3" s="11">
        <v>8.2</v>
      </c>
    </row>
    <row r="4" ht="14.25" customHeight="1">
      <c r="A4" s="11" t="s">
        <v>5</v>
      </c>
      <c r="B4" s="43" t="s">
        <v>6</v>
      </c>
      <c r="C4" s="44">
        <v>2.2</v>
      </c>
      <c r="D4" s="44">
        <v>1.0</v>
      </c>
      <c r="E4" s="44">
        <v>2.5</v>
      </c>
      <c r="F4" s="44">
        <v>1.1</v>
      </c>
      <c r="G4" s="11">
        <v>1.6</v>
      </c>
      <c r="H4" s="11">
        <v>2.4</v>
      </c>
      <c r="I4" s="11">
        <v>1.9</v>
      </c>
      <c r="J4" s="11">
        <v>1.9</v>
      </c>
      <c r="K4" s="11">
        <v>1.9</v>
      </c>
    </row>
    <row r="5" ht="14.25" customHeight="1">
      <c r="A5" s="11" t="s">
        <v>7</v>
      </c>
      <c r="B5" s="43" t="s">
        <v>8</v>
      </c>
      <c r="C5" s="44">
        <v>6.1</v>
      </c>
      <c r="D5" s="44">
        <v>5.8</v>
      </c>
      <c r="E5" s="44">
        <v>7.2</v>
      </c>
      <c r="F5" s="44">
        <v>7.8</v>
      </c>
      <c r="G5" s="11">
        <v>8.0</v>
      </c>
      <c r="H5" s="11">
        <v>8.0</v>
      </c>
      <c r="I5" s="11">
        <v>8.0</v>
      </c>
      <c r="J5" s="11">
        <v>8.4</v>
      </c>
      <c r="K5" s="11">
        <v>8.1</v>
      </c>
    </row>
    <row r="6" ht="14.25" customHeight="1">
      <c r="A6" s="11" t="s">
        <v>11</v>
      </c>
      <c r="B6" s="43" t="s">
        <v>12</v>
      </c>
      <c r="C6" s="44">
        <v>1.2</v>
      </c>
      <c r="D6" s="44">
        <v>0.9</v>
      </c>
      <c r="E6" s="44">
        <v>2.3</v>
      </c>
      <c r="F6" s="44">
        <v>2.3</v>
      </c>
      <c r="G6" s="11">
        <v>2.4</v>
      </c>
      <c r="H6" s="11">
        <v>2.4</v>
      </c>
      <c r="I6" s="11">
        <v>2.4</v>
      </c>
      <c r="J6" s="11">
        <v>2.4</v>
      </c>
      <c r="K6" s="11">
        <v>2.5</v>
      </c>
    </row>
    <row r="7" ht="14.25" customHeight="1">
      <c r="A7" s="11" t="s">
        <v>13</v>
      </c>
      <c r="B7" s="43" t="s">
        <v>14</v>
      </c>
      <c r="C7" s="44">
        <v>5.0</v>
      </c>
      <c r="D7" s="44">
        <v>2.7</v>
      </c>
      <c r="E7" s="44">
        <v>4.3</v>
      </c>
      <c r="F7" s="44">
        <v>4.2</v>
      </c>
      <c r="G7" s="11">
        <v>4.1</v>
      </c>
      <c r="H7" s="11">
        <v>4.3</v>
      </c>
      <c r="I7" s="11">
        <v>4.3</v>
      </c>
      <c r="J7" s="11">
        <v>2.8</v>
      </c>
      <c r="K7" s="11">
        <v>3.1</v>
      </c>
    </row>
    <row r="8" ht="14.25" customHeight="1">
      <c r="A8" s="11" t="s">
        <v>17</v>
      </c>
      <c r="B8" s="43" t="s">
        <v>18</v>
      </c>
      <c r="C8" s="44">
        <v>2.3</v>
      </c>
      <c r="D8" s="44">
        <v>1.9</v>
      </c>
      <c r="E8" s="44">
        <v>2.4</v>
      </c>
      <c r="F8" s="44">
        <v>2.7</v>
      </c>
      <c r="G8" s="11">
        <v>2.2</v>
      </c>
      <c r="H8" s="11">
        <v>1.3</v>
      </c>
      <c r="I8" s="11">
        <v>0.8</v>
      </c>
      <c r="J8" s="11">
        <v>0.8</v>
      </c>
      <c r="K8" s="11">
        <v>0.8</v>
      </c>
    </row>
    <row r="9" ht="14.25" customHeight="1">
      <c r="A9" s="11" t="s">
        <v>19</v>
      </c>
      <c r="B9" s="43" t="s">
        <v>20</v>
      </c>
      <c r="C9" s="44">
        <v>2.0</v>
      </c>
      <c r="D9" s="44">
        <v>2.5</v>
      </c>
      <c r="E9" s="44">
        <v>2.6</v>
      </c>
      <c r="F9" s="44">
        <v>2.6</v>
      </c>
      <c r="G9" s="11">
        <v>2.7</v>
      </c>
      <c r="H9" s="11">
        <v>2.3</v>
      </c>
      <c r="I9" s="11">
        <v>2.1</v>
      </c>
      <c r="J9" s="11">
        <v>2.2</v>
      </c>
      <c r="K9" s="11">
        <v>2.7</v>
      </c>
    </row>
    <row r="10" ht="14.25" customHeight="1">
      <c r="A10" s="11" t="s">
        <v>21</v>
      </c>
      <c r="B10" s="43" t="s">
        <v>22</v>
      </c>
      <c r="C10" s="44">
        <v>5.2</v>
      </c>
      <c r="D10" s="44">
        <v>4.5</v>
      </c>
      <c r="E10" s="44">
        <v>3.8</v>
      </c>
      <c r="F10" s="44">
        <v>3.8</v>
      </c>
      <c r="G10" s="11">
        <v>3.7</v>
      </c>
      <c r="H10" s="11">
        <v>4.8</v>
      </c>
      <c r="I10" s="11">
        <v>3.5</v>
      </c>
      <c r="J10" s="11">
        <v>3.7</v>
      </c>
      <c r="K10" s="11">
        <v>3.7</v>
      </c>
    </row>
    <row r="11" ht="14.25" customHeight="1">
      <c r="A11" s="11" t="s">
        <v>25</v>
      </c>
      <c r="B11" s="43" t="s">
        <v>26</v>
      </c>
      <c r="C11" s="44">
        <v>1.4</v>
      </c>
      <c r="D11" s="44">
        <v>1.0</v>
      </c>
      <c r="E11" s="44">
        <v>1.1</v>
      </c>
      <c r="F11" s="44">
        <v>1.2</v>
      </c>
      <c r="G11" s="11">
        <v>1.1</v>
      </c>
      <c r="H11" s="11">
        <v>1.8</v>
      </c>
      <c r="I11" s="11">
        <v>1.1</v>
      </c>
      <c r="J11" s="11">
        <v>1.9</v>
      </c>
      <c r="K11" s="11">
        <v>1.6</v>
      </c>
    </row>
    <row r="12" ht="14.25" customHeight="1">
      <c r="A12" s="11" t="s">
        <v>27</v>
      </c>
      <c r="B12" s="43" t="s">
        <v>28</v>
      </c>
      <c r="C12" s="44">
        <v>3.1</v>
      </c>
      <c r="D12" s="44">
        <v>3.4</v>
      </c>
      <c r="E12" s="44">
        <v>4.1</v>
      </c>
      <c r="F12" s="44">
        <v>3.9</v>
      </c>
      <c r="G12" s="11">
        <v>4.2</v>
      </c>
      <c r="H12" s="11">
        <v>4.3</v>
      </c>
      <c r="I12" s="11">
        <v>4.4</v>
      </c>
      <c r="J12" s="11">
        <v>4.5</v>
      </c>
      <c r="K12" s="11">
        <v>4.6</v>
      </c>
    </row>
    <row r="13" ht="14.25" customHeight="1">
      <c r="A13" s="11" t="s">
        <v>29</v>
      </c>
      <c r="B13" s="43" t="s">
        <v>30</v>
      </c>
      <c r="C13" s="44">
        <v>7.3</v>
      </c>
      <c r="D13" s="44">
        <v>7.5</v>
      </c>
      <c r="E13" s="44">
        <v>6.8</v>
      </c>
      <c r="F13" s="44">
        <v>6.9</v>
      </c>
      <c r="G13" s="11">
        <v>6.8</v>
      </c>
      <c r="H13" s="11">
        <v>6.9</v>
      </c>
      <c r="I13" s="11">
        <v>7.0</v>
      </c>
      <c r="J13" s="11">
        <v>7.0</v>
      </c>
      <c r="K13" s="11">
        <v>6.7</v>
      </c>
    </row>
    <row r="14" ht="14.25" customHeight="1">
      <c r="A14" s="11" t="s">
        <v>31</v>
      </c>
      <c r="B14" s="43" t="s">
        <v>32</v>
      </c>
      <c r="C14" s="44">
        <v>3.0</v>
      </c>
      <c r="D14" s="44">
        <v>3.6</v>
      </c>
      <c r="E14" s="44">
        <v>3.6</v>
      </c>
      <c r="F14" s="44">
        <v>3.0</v>
      </c>
      <c r="G14" s="11">
        <v>3.0</v>
      </c>
      <c r="H14" s="11">
        <v>3.1</v>
      </c>
      <c r="I14" s="11">
        <v>3.4</v>
      </c>
      <c r="J14" s="11">
        <v>3.4</v>
      </c>
      <c r="K14" s="11">
        <v>3.4</v>
      </c>
    </row>
    <row r="15" ht="14.25" customHeight="1">
      <c r="A15" s="11" t="s">
        <v>33</v>
      </c>
      <c r="B15" s="43" t="s">
        <v>34</v>
      </c>
      <c r="C15" s="44">
        <v>6.5</v>
      </c>
      <c r="D15" s="44">
        <v>6.2</v>
      </c>
      <c r="E15" s="44">
        <v>5.9</v>
      </c>
      <c r="F15" s="44">
        <v>6.1</v>
      </c>
      <c r="G15" s="11">
        <v>6.2</v>
      </c>
      <c r="H15" s="11">
        <v>6.3</v>
      </c>
      <c r="I15" s="11">
        <v>6.4</v>
      </c>
      <c r="J15" s="11">
        <v>6.3</v>
      </c>
      <c r="K15" s="11">
        <v>6.5</v>
      </c>
    </row>
    <row r="16" ht="14.25" customHeight="1">
      <c r="A16" s="11" t="s">
        <v>35</v>
      </c>
      <c r="B16" s="43" t="s">
        <v>36</v>
      </c>
      <c r="C16" s="44">
        <v>5.2</v>
      </c>
      <c r="D16" s="44">
        <v>4.3</v>
      </c>
      <c r="E16" s="44">
        <v>5.0</v>
      </c>
      <c r="F16" s="44">
        <v>4.9</v>
      </c>
      <c r="G16" s="11">
        <v>4.8</v>
      </c>
      <c r="H16" s="11">
        <v>4.7</v>
      </c>
      <c r="I16" s="11">
        <v>4.8</v>
      </c>
      <c r="J16" s="11">
        <v>4.8</v>
      </c>
      <c r="K16" s="11">
        <v>5.1</v>
      </c>
    </row>
    <row r="17" ht="14.25" customHeight="1">
      <c r="A17" s="11" t="s">
        <v>37</v>
      </c>
      <c r="B17" s="43" t="s">
        <v>38</v>
      </c>
      <c r="C17" s="44">
        <v>1.5</v>
      </c>
      <c r="D17" s="44">
        <v>1.5</v>
      </c>
      <c r="E17" s="44">
        <v>2.2</v>
      </c>
      <c r="F17" s="44">
        <v>2.3</v>
      </c>
      <c r="G17" s="11">
        <v>2.3</v>
      </c>
      <c r="H17" s="11">
        <v>2.3</v>
      </c>
      <c r="I17" s="11">
        <v>2.3</v>
      </c>
      <c r="J17" s="11">
        <v>2.0</v>
      </c>
      <c r="K17" s="11">
        <v>0.7</v>
      </c>
    </row>
    <row r="18" ht="14.25" customHeight="1">
      <c r="A18" s="11" t="s">
        <v>39</v>
      </c>
      <c r="B18" s="43" t="s">
        <v>40</v>
      </c>
      <c r="C18" s="44">
        <v>6.3</v>
      </c>
      <c r="D18" s="44">
        <v>5.8</v>
      </c>
      <c r="E18" s="44">
        <v>6.4</v>
      </c>
      <c r="F18" s="44">
        <v>6.4</v>
      </c>
      <c r="G18" s="11">
        <v>6.4</v>
      </c>
      <c r="H18" s="11">
        <v>6.2</v>
      </c>
      <c r="I18" s="11">
        <v>5.7</v>
      </c>
      <c r="J18" s="11">
        <v>5.8</v>
      </c>
      <c r="K18" s="11">
        <v>6.2</v>
      </c>
    </row>
    <row r="19" ht="14.25" customHeight="1">
      <c r="A19" s="11" t="s">
        <v>41</v>
      </c>
      <c r="B19" s="43" t="s">
        <v>42</v>
      </c>
      <c r="C19" s="44">
        <v>3.8</v>
      </c>
      <c r="D19" s="44">
        <v>3.5</v>
      </c>
      <c r="E19" s="44">
        <v>3.9</v>
      </c>
      <c r="F19" s="44">
        <v>4.0</v>
      </c>
      <c r="G19" s="11">
        <v>3.8</v>
      </c>
      <c r="H19" s="11">
        <v>3.3</v>
      </c>
      <c r="I19" s="11">
        <v>3.9</v>
      </c>
      <c r="J19" s="11">
        <v>3.3</v>
      </c>
      <c r="K19" s="11">
        <v>3.6</v>
      </c>
    </row>
    <row r="20" ht="14.25" customHeight="1">
      <c r="A20" s="11" t="s">
        <v>43</v>
      </c>
      <c r="B20" s="43" t="s">
        <v>44</v>
      </c>
      <c r="C20" s="44">
        <v>1.1</v>
      </c>
      <c r="D20" s="44">
        <v>1.2</v>
      </c>
      <c r="E20" s="44">
        <v>1.1</v>
      </c>
      <c r="F20" s="44">
        <v>1.1</v>
      </c>
      <c r="G20" s="11">
        <v>1.1</v>
      </c>
      <c r="H20" s="11">
        <v>1.1</v>
      </c>
      <c r="I20" s="11">
        <v>1.1</v>
      </c>
      <c r="J20" s="11">
        <v>1.5</v>
      </c>
      <c r="K20" s="11">
        <v>1.4</v>
      </c>
    </row>
    <row r="21" ht="14.25" customHeight="1">
      <c r="A21" s="11" t="s">
        <v>45</v>
      </c>
      <c r="B21" s="43" t="s">
        <v>46</v>
      </c>
      <c r="C21" s="44">
        <v>0.3</v>
      </c>
      <c r="D21" s="44">
        <v>0.4</v>
      </c>
      <c r="E21" s="44">
        <v>0.7</v>
      </c>
      <c r="F21" s="44">
        <v>1.2</v>
      </c>
      <c r="G21" s="11">
        <v>1.2</v>
      </c>
      <c r="H21" s="11">
        <v>0.7</v>
      </c>
      <c r="I21" s="11">
        <v>0.7</v>
      </c>
      <c r="J21" s="11">
        <v>1.3</v>
      </c>
      <c r="K21" s="11">
        <v>1.3</v>
      </c>
    </row>
    <row r="22" ht="14.25" customHeight="1">
      <c r="A22" s="11" t="s">
        <v>49</v>
      </c>
      <c r="B22" s="43" t="s">
        <v>50</v>
      </c>
      <c r="C22" s="44">
        <v>5.0</v>
      </c>
      <c r="D22" s="44">
        <v>4.5</v>
      </c>
      <c r="E22" s="44">
        <v>5.2</v>
      </c>
      <c r="F22" s="44">
        <v>4.6</v>
      </c>
      <c r="G22" s="11">
        <v>4.6</v>
      </c>
      <c r="H22" s="11">
        <v>4.7</v>
      </c>
      <c r="I22" s="11">
        <v>4.6</v>
      </c>
      <c r="J22" s="11">
        <v>4.8</v>
      </c>
      <c r="K22" s="11">
        <v>4.4</v>
      </c>
    </row>
    <row r="23" ht="14.25" customHeight="1">
      <c r="A23" s="11" t="s">
        <v>515</v>
      </c>
      <c r="B23" s="43" t="s">
        <v>52</v>
      </c>
      <c r="C23" s="44">
        <v>1.5</v>
      </c>
      <c r="D23" s="44">
        <v>1.9</v>
      </c>
      <c r="E23" s="44">
        <v>1.0</v>
      </c>
      <c r="F23" s="44">
        <v>1.0</v>
      </c>
      <c r="G23" s="11">
        <v>1.0</v>
      </c>
      <c r="H23" s="11">
        <v>1.0</v>
      </c>
      <c r="I23" s="11">
        <v>1.0</v>
      </c>
      <c r="J23" s="11">
        <v>0.9</v>
      </c>
      <c r="K23" s="11">
        <v>0.9</v>
      </c>
    </row>
    <row r="24" ht="14.25" customHeight="1">
      <c r="A24" s="11" t="s">
        <v>516</v>
      </c>
      <c r="B24" s="43" t="s">
        <v>56</v>
      </c>
      <c r="C24" s="44">
        <v>2.3</v>
      </c>
      <c r="D24" s="44">
        <v>2.0</v>
      </c>
      <c r="E24" s="44">
        <v>2.1</v>
      </c>
      <c r="F24" s="44">
        <v>3.0</v>
      </c>
      <c r="G24" s="11">
        <v>2.9</v>
      </c>
      <c r="H24" s="11">
        <v>2.8</v>
      </c>
      <c r="I24" s="11">
        <v>2.8</v>
      </c>
      <c r="J24" s="11">
        <v>2.8</v>
      </c>
      <c r="K24" s="11">
        <v>3.3</v>
      </c>
    </row>
    <row r="25" ht="14.25" customHeight="1">
      <c r="A25" s="11" t="s">
        <v>57</v>
      </c>
      <c r="B25" s="43" t="s">
        <v>58</v>
      </c>
      <c r="C25" s="44">
        <v>0.7</v>
      </c>
      <c r="D25" s="44">
        <v>0.8</v>
      </c>
      <c r="E25" s="44">
        <v>1.1</v>
      </c>
      <c r="F25" s="44">
        <v>1.6</v>
      </c>
      <c r="G25" s="11">
        <v>1.3</v>
      </c>
      <c r="H25" s="11">
        <v>1.3</v>
      </c>
      <c r="I25" s="11">
        <v>1.3</v>
      </c>
      <c r="J25" s="11">
        <v>2.0</v>
      </c>
      <c r="K25" s="11">
        <v>1.6</v>
      </c>
    </row>
    <row r="26" ht="14.25" customHeight="1">
      <c r="A26" s="11" t="s">
        <v>59</v>
      </c>
      <c r="B26" s="43" t="s">
        <v>60</v>
      </c>
      <c r="C26" s="44">
        <v>0.2</v>
      </c>
      <c r="D26" s="44">
        <v>0.7</v>
      </c>
      <c r="E26" s="44">
        <v>0.7</v>
      </c>
      <c r="F26" s="44">
        <v>1.4</v>
      </c>
      <c r="G26" s="11">
        <v>1.3</v>
      </c>
      <c r="H26" s="11">
        <v>1.3</v>
      </c>
      <c r="I26" s="11">
        <v>2.4</v>
      </c>
      <c r="J26" s="11">
        <v>2.5</v>
      </c>
      <c r="K26" s="11">
        <v>2.5</v>
      </c>
    </row>
    <row r="27" ht="14.25" customHeight="1">
      <c r="A27" s="11" t="s">
        <v>517</v>
      </c>
      <c r="B27" s="43" t="s">
        <v>64</v>
      </c>
      <c r="C27" s="44">
        <v>6.9</v>
      </c>
      <c r="D27" s="44">
        <v>5.6</v>
      </c>
      <c r="E27" s="44">
        <v>6.9</v>
      </c>
      <c r="F27" s="44">
        <v>7.2</v>
      </c>
      <c r="G27" s="11">
        <v>6.6</v>
      </c>
      <c r="H27" s="11">
        <v>6.6</v>
      </c>
      <c r="I27" s="11">
        <v>6.6</v>
      </c>
      <c r="J27" s="11">
        <v>7.2</v>
      </c>
      <c r="K27" s="11">
        <v>6.5</v>
      </c>
    </row>
    <row r="28" ht="14.25" customHeight="1">
      <c r="A28" s="11" t="s">
        <v>65</v>
      </c>
      <c r="B28" s="43" t="s">
        <v>66</v>
      </c>
      <c r="C28" s="44">
        <v>5.4</v>
      </c>
      <c r="D28" s="44">
        <v>5.5</v>
      </c>
      <c r="E28" s="44">
        <v>5.0</v>
      </c>
      <c r="F28" s="44">
        <v>5.7</v>
      </c>
      <c r="G28" s="11">
        <v>5.3</v>
      </c>
      <c r="H28" s="11">
        <v>5.7</v>
      </c>
      <c r="I28" s="11">
        <v>5.6</v>
      </c>
      <c r="J28" s="11">
        <v>4.5</v>
      </c>
      <c r="K28" s="11">
        <v>4.7</v>
      </c>
    </row>
    <row r="29" ht="14.25" customHeight="1">
      <c r="A29" s="11" t="s">
        <v>67</v>
      </c>
      <c r="B29" s="43" t="s">
        <v>68</v>
      </c>
      <c r="C29" s="44">
        <v>1.3</v>
      </c>
      <c r="D29" s="44">
        <v>0.4</v>
      </c>
      <c r="E29" s="44">
        <v>1.6</v>
      </c>
      <c r="F29" s="44">
        <v>1.2</v>
      </c>
      <c r="G29" s="11">
        <v>1.8</v>
      </c>
      <c r="H29" s="11">
        <v>1.4</v>
      </c>
      <c r="I29" s="11">
        <v>2.7</v>
      </c>
      <c r="J29" s="11">
        <v>2.7</v>
      </c>
      <c r="K29" s="11">
        <v>3.0</v>
      </c>
    </row>
    <row r="30" ht="14.25" customHeight="1">
      <c r="A30" s="11" t="s">
        <v>69</v>
      </c>
      <c r="B30" s="43" t="s">
        <v>70</v>
      </c>
      <c r="C30" s="44">
        <v>2.3</v>
      </c>
      <c r="D30" s="44">
        <v>2.9</v>
      </c>
      <c r="E30" s="44">
        <v>2.9</v>
      </c>
      <c r="F30" s="44">
        <v>2.9</v>
      </c>
      <c r="G30" s="11">
        <v>2.4</v>
      </c>
      <c r="H30" s="11">
        <v>3.2</v>
      </c>
      <c r="I30" s="11">
        <v>3.8</v>
      </c>
      <c r="J30" s="11">
        <v>2.8</v>
      </c>
      <c r="K30" s="11">
        <v>3.3</v>
      </c>
    </row>
    <row r="31" ht="14.25" customHeight="1">
      <c r="A31" s="11" t="s">
        <v>73</v>
      </c>
      <c r="B31" s="43" t="s">
        <v>74</v>
      </c>
      <c r="C31" s="44">
        <v>2.2</v>
      </c>
      <c r="D31" s="44">
        <v>2.4</v>
      </c>
      <c r="E31" s="44">
        <v>3.4</v>
      </c>
      <c r="F31" s="44">
        <v>3.6</v>
      </c>
      <c r="G31" s="11">
        <v>3.2</v>
      </c>
      <c r="H31" s="11">
        <v>4.0</v>
      </c>
      <c r="I31" s="11">
        <v>3.5</v>
      </c>
      <c r="J31" s="11">
        <v>3.5</v>
      </c>
      <c r="K31" s="11">
        <v>3.4</v>
      </c>
    </row>
    <row r="32" ht="14.25" customHeight="1">
      <c r="A32" s="11" t="s">
        <v>75</v>
      </c>
      <c r="B32" s="43" t="s">
        <v>76</v>
      </c>
      <c r="C32" s="44">
        <v>1.6</v>
      </c>
      <c r="D32" s="44">
        <v>0.4</v>
      </c>
      <c r="E32" s="44">
        <v>3.2</v>
      </c>
      <c r="F32" s="44">
        <v>3.0</v>
      </c>
      <c r="G32" s="11">
        <v>3.2</v>
      </c>
      <c r="H32" s="11">
        <v>2.9</v>
      </c>
      <c r="I32" s="11">
        <v>3.2</v>
      </c>
      <c r="J32" s="11">
        <v>2.7</v>
      </c>
      <c r="K32" s="11">
        <v>2.6</v>
      </c>
    </row>
    <row r="33" ht="14.25" customHeight="1">
      <c r="A33" s="11" t="s">
        <v>77</v>
      </c>
      <c r="B33" s="43" t="s">
        <v>78</v>
      </c>
      <c r="C33" s="44">
        <v>1.2</v>
      </c>
      <c r="D33" s="44">
        <v>1.2</v>
      </c>
      <c r="E33" s="44">
        <v>1.2</v>
      </c>
      <c r="F33" s="44">
        <v>1.2</v>
      </c>
      <c r="G33" s="11">
        <v>1.2</v>
      </c>
      <c r="H33" s="11">
        <v>1.2</v>
      </c>
      <c r="I33" s="11">
        <v>2.0</v>
      </c>
      <c r="J33" s="11">
        <v>2.0</v>
      </c>
      <c r="K33" s="11">
        <v>2.1</v>
      </c>
    </row>
    <row r="34" ht="14.25" customHeight="1">
      <c r="A34" s="11" t="s">
        <v>518</v>
      </c>
      <c r="B34" s="43" t="s">
        <v>72</v>
      </c>
      <c r="C34" s="44">
        <v>0.3</v>
      </c>
      <c r="D34" s="44">
        <v>0.4</v>
      </c>
      <c r="E34" s="44">
        <v>0.3</v>
      </c>
      <c r="F34" s="44">
        <v>1.1</v>
      </c>
      <c r="G34" s="11">
        <v>0.5</v>
      </c>
      <c r="H34" s="11">
        <v>0.9</v>
      </c>
      <c r="I34" s="11">
        <v>1.5</v>
      </c>
      <c r="J34" s="11">
        <v>0.9</v>
      </c>
      <c r="K34" s="11">
        <v>0.8</v>
      </c>
    </row>
    <row r="35" ht="14.25" customHeight="1">
      <c r="A35" s="11" t="s">
        <v>81</v>
      </c>
      <c r="B35" s="43" t="s">
        <v>82</v>
      </c>
      <c r="C35" s="44">
        <v>4.2</v>
      </c>
      <c r="D35" s="44">
        <v>2.3</v>
      </c>
      <c r="E35" s="44">
        <v>2.9</v>
      </c>
      <c r="F35" s="44">
        <v>3.1</v>
      </c>
      <c r="G35" s="11">
        <v>2.6</v>
      </c>
      <c r="H35" s="11">
        <v>3.5</v>
      </c>
      <c r="I35" s="11">
        <v>2.9</v>
      </c>
      <c r="J35" s="11">
        <v>2.7</v>
      </c>
      <c r="K35" s="11">
        <v>3.5</v>
      </c>
    </row>
    <row r="36" ht="14.25" customHeight="1">
      <c r="A36" s="11" t="s">
        <v>83</v>
      </c>
      <c r="B36" s="43" t="s">
        <v>84</v>
      </c>
      <c r="C36" s="44">
        <v>3.0</v>
      </c>
      <c r="D36" s="44">
        <v>1.6</v>
      </c>
      <c r="E36" s="44">
        <v>3.0</v>
      </c>
      <c r="F36" s="44">
        <v>3.5</v>
      </c>
      <c r="G36" s="11">
        <v>3.9</v>
      </c>
      <c r="H36" s="11">
        <v>3.8</v>
      </c>
      <c r="I36" s="11">
        <v>3.7</v>
      </c>
      <c r="J36" s="11">
        <v>3.9</v>
      </c>
      <c r="K36" s="11">
        <v>4.6</v>
      </c>
    </row>
    <row r="37" ht="14.25" customHeight="1">
      <c r="A37" s="11" t="s">
        <v>85</v>
      </c>
      <c r="B37" s="43" t="s">
        <v>86</v>
      </c>
      <c r="C37" s="44">
        <v>1.6</v>
      </c>
      <c r="D37" s="44">
        <v>1.3</v>
      </c>
      <c r="E37" s="44">
        <v>1.3</v>
      </c>
      <c r="F37" s="44">
        <v>2.2</v>
      </c>
      <c r="G37" s="11">
        <v>1.3</v>
      </c>
      <c r="H37" s="11">
        <v>1.3</v>
      </c>
      <c r="I37" s="11">
        <v>1.5</v>
      </c>
      <c r="J37" s="11">
        <v>1.7</v>
      </c>
      <c r="K37" s="11">
        <v>1.5</v>
      </c>
    </row>
    <row r="38" ht="14.25" customHeight="1">
      <c r="A38" s="11" t="s">
        <v>87</v>
      </c>
      <c r="B38" s="43" t="s">
        <v>88</v>
      </c>
      <c r="C38" s="44">
        <v>9.1</v>
      </c>
      <c r="D38" s="44">
        <v>8.6</v>
      </c>
      <c r="E38" s="44">
        <v>8.6</v>
      </c>
      <c r="F38" s="44">
        <v>8.8</v>
      </c>
      <c r="G38" s="11">
        <v>8.9</v>
      </c>
      <c r="H38" s="11">
        <v>9.3</v>
      </c>
      <c r="I38" s="11">
        <v>9.3</v>
      </c>
      <c r="J38" s="11">
        <v>9.3</v>
      </c>
      <c r="K38" s="11">
        <v>9.1</v>
      </c>
    </row>
    <row r="39" ht="14.25" customHeight="1">
      <c r="A39" s="11" t="s">
        <v>93</v>
      </c>
      <c r="B39" s="43" t="s">
        <v>94</v>
      </c>
      <c r="C39" s="44">
        <v>1.6</v>
      </c>
      <c r="D39" s="44">
        <v>1.6</v>
      </c>
      <c r="E39" s="44">
        <v>1.7</v>
      </c>
      <c r="F39" s="44">
        <v>3.1</v>
      </c>
      <c r="G39" s="11">
        <v>2.0</v>
      </c>
      <c r="H39" s="11">
        <v>1.4</v>
      </c>
      <c r="I39" s="11">
        <v>1.4</v>
      </c>
      <c r="J39" s="11">
        <v>1.4</v>
      </c>
      <c r="K39" s="11">
        <v>2.1</v>
      </c>
    </row>
    <row r="40" ht="14.25" customHeight="1">
      <c r="A40" s="11" t="s">
        <v>95</v>
      </c>
      <c r="B40" s="43" t="s">
        <v>96</v>
      </c>
      <c r="C40" s="44">
        <v>4.0</v>
      </c>
      <c r="D40" s="44">
        <v>3.6</v>
      </c>
      <c r="E40" s="44">
        <v>6.1</v>
      </c>
      <c r="F40" s="44">
        <v>6.3</v>
      </c>
      <c r="G40" s="11">
        <v>7.4</v>
      </c>
      <c r="H40" s="11">
        <v>5.8</v>
      </c>
      <c r="I40" s="11">
        <v>5.4</v>
      </c>
      <c r="J40" s="11">
        <v>4.6</v>
      </c>
      <c r="K40" s="11">
        <v>4.5</v>
      </c>
    </row>
    <row r="41" ht="14.25" customHeight="1">
      <c r="A41" s="11" t="s">
        <v>101</v>
      </c>
      <c r="B41" s="43" t="s">
        <v>102</v>
      </c>
      <c r="C41" s="44">
        <v>3.1</v>
      </c>
      <c r="D41" s="44">
        <v>2.6</v>
      </c>
      <c r="E41" s="44">
        <v>2.9</v>
      </c>
      <c r="F41" s="44">
        <v>3.2</v>
      </c>
      <c r="G41" s="11">
        <v>3.2</v>
      </c>
      <c r="H41" s="11">
        <v>2.7</v>
      </c>
      <c r="I41" s="11">
        <v>2.7</v>
      </c>
      <c r="J41" s="11">
        <v>2.7</v>
      </c>
      <c r="K41" s="11">
        <v>2.7</v>
      </c>
    </row>
    <row r="42" ht="14.25" customHeight="1">
      <c r="A42" s="11" t="s">
        <v>105</v>
      </c>
      <c r="B42" s="43" t="s">
        <v>106</v>
      </c>
      <c r="C42" s="44">
        <v>1.5</v>
      </c>
      <c r="D42" s="44">
        <v>1.4</v>
      </c>
      <c r="E42" s="44">
        <v>1.4</v>
      </c>
      <c r="F42" s="44">
        <v>1.7</v>
      </c>
      <c r="G42" s="11">
        <v>2.4</v>
      </c>
      <c r="H42" s="11">
        <v>2.9</v>
      </c>
      <c r="I42" s="11">
        <v>2.2</v>
      </c>
      <c r="J42" s="11">
        <v>2.9</v>
      </c>
      <c r="K42" s="11">
        <v>3.4</v>
      </c>
    </row>
    <row r="43" ht="14.25" customHeight="1">
      <c r="A43" s="11" t="s">
        <v>107</v>
      </c>
      <c r="B43" s="43" t="s">
        <v>108</v>
      </c>
      <c r="C43" s="44">
        <v>5.2</v>
      </c>
      <c r="D43" s="44">
        <v>4.5</v>
      </c>
      <c r="E43" s="44">
        <v>4.9</v>
      </c>
      <c r="F43" s="44">
        <v>5.0</v>
      </c>
      <c r="G43" s="11">
        <v>4.3</v>
      </c>
      <c r="H43" s="11">
        <v>4.3</v>
      </c>
      <c r="I43" s="11">
        <v>5.3</v>
      </c>
      <c r="J43" s="11">
        <v>5.6</v>
      </c>
      <c r="K43" s="11">
        <v>5.3</v>
      </c>
    </row>
    <row r="44" ht="14.25" customHeight="1">
      <c r="A44" s="11" t="s">
        <v>111</v>
      </c>
      <c r="B44" s="43" t="s">
        <v>112</v>
      </c>
      <c r="C44" s="44">
        <v>2.5</v>
      </c>
      <c r="D44" s="44">
        <v>2.6</v>
      </c>
      <c r="E44" s="44">
        <v>2.3</v>
      </c>
      <c r="F44" s="44">
        <v>2.7</v>
      </c>
      <c r="G44" s="11">
        <v>2.5</v>
      </c>
      <c r="H44" s="11">
        <v>3.3</v>
      </c>
      <c r="I44" s="11">
        <v>3.2</v>
      </c>
      <c r="J44" s="11">
        <v>2.9</v>
      </c>
      <c r="K44" s="11">
        <v>4.1</v>
      </c>
    </row>
    <row r="45" ht="14.25" customHeight="1">
      <c r="A45" s="11" t="s">
        <v>519</v>
      </c>
      <c r="B45" s="43" t="s">
        <v>114</v>
      </c>
      <c r="C45" s="44">
        <v>1.1</v>
      </c>
      <c r="D45" s="44">
        <v>2.5</v>
      </c>
      <c r="E45" s="44">
        <v>2.2</v>
      </c>
      <c r="F45" s="44">
        <v>2.5</v>
      </c>
      <c r="G45" s="11">
        <v>3.3</v>
      </c>
      <c r="H45" s="11">
        <v>2.8</v>
      </c>
      <c r="I45" s="11">
        <v>2.4</v>
      </c>
      <c r="J45" s="11">
        <v>2.3</v>
      </c>
      <c r="K45" s="11">
        <v>2.3</v>
      </c>
    </row>
    <row r="46" ht="14.25" customHeight="1">
      <c r="A46" s="11" t="s">
        <v>117</v>
      </c>
      <c r="B46" s="43" t="s">
        <v>118</v>
      </c>
      <c r="C46" s="44">
        <v>1.1</v>
      </c>
      <c r="D46" s="44">
        <v>1.2</v>
      </c>
      <c r="E46" s="44">
        <v>2.4</v>
      </c>
      <c r="F46" s="44">
        <v>1.9</v>
      </c>
      <c r="G46" s="11">
        <v>3.0</v>
      </c>
      <c r="H46" s="11">
        <v>3.0</v>
      </c>
      <c r="I46" s="11">
        <v>1.4</v>
      </c>
      <c r="J46" s="11">
        <v>2.3</v>
      </c>
      <c r="K46" s="11">
        <v>1.2</v>
      </c>
    </row>
    <row r="47" ht="14.25" customHeight="1">
      <c r="A47" s="11" t="s">
        <v>119</v>
      </c>
      <c r="B47" s="43" t="s">
        <v>120</v>
      </c>
      <c r="C47" s="44">
        <v>3.2</v>
      </c>
      <c r="D47" s="44">
        <v>3.5</v>
      </c>
      <c r="E47" s="44">
        <v>3.7</v>
      </c>
      <c r="F47" s="44">
        <v>4.1</v>
      </c>
      <c r="G47" s="11">
        <v>4.0</v>
      </c>
      <c r="H47" s="11">
        <v>4.7</v>
      </c>
      <c r="I47" s="11">
        <v>4.1</v>
      </c>
      <c r="J47" s="11">
        <v>4.4</v>
      </c>
      <c r="K47" s="11">
        <v>4.4</v>
      </c>
    </row>
    <row r="48" ht="14.25" customHeight="1">
      <c r="A48" s="11" t="s">
        <v>121</v>
      </c>
      <c r="B48" s="43" t="s">
        <v>122</v>
      </c>
      <c r="C48" s="44">
        <v>5.1</v>
      </c>
      <c r="D48" s="44">
        <v>4.0</v>
      </c>
      <c r="E48" s="44">
        <v>3.4</v>
      </c>
      <c r="F48" s="44">
        <v>4.4</v>
      </c>
      <c r="G48" s="11">
        <v>4.0</v>
      </c>
      <c r="H48" s="11">
        <v>3.9</v>
      </c>
      <c r="I48" s="11">
        <v>3.6</v>
      </c>
      <c r="J48" s="11">
        <v>4.2</v>
      </c>
      <c r="K48" s="11">
        <v>3.7</v>
      </c>
    </row>
    <row r="49" ht="14.25" customHeight="1">
      <c r="A49" s="11" t="s">
        <v>123</v>
      </c>
      <c r="B49" s="43" t="s">
        <v>124</v>
      </c>
      <c r="C49" s="44">
        <v>1.3</v>
      </c>
      <c r="D49" s="44">
        <v>1.5</v>
      </c>
      <c r="E49" s="44">
        <v>1.8</v>
      </c>
      <c r="F49" s="44">
        <v>2.1</v>
      </c>
      <c r="G49" s="11">
        <v>1.6</v>
      </c>
      <c r="H49" s="11">
        <v>1.6</v>
      </c>
      <c r="I49" s="11">
        <v>2.4</v>
      </c>
      <c r="J49" s="11">
        <v>2.2</v>
      </c>
      <c r="K49" s="11">
        <v>2.4</v>
      </c>
    </row>
    <row r="50" ht="14.25" customHeight="1">
      <c r="A50" s="11" t="s">
        <v>125</v>
      </c>
      <c r="B50" s="43" t="s">
        <v>126</v>
      </c>
      <c r="C50" s="44">
        <v>1.2</v>
      </c>
      <c r="D50" s="44">
        <v>1.3</v>
      </c>
      <c r="E50" s="44">
        <v>1.5</v>
      </c>
      <c r="F50" s="44">
        <v>1.7</v>
      </c>
      <c r="G50" s="11">
        <v>1.3</v>
      </c>
      <c r="H50" s="11">
        <v>1.3</v>
      </c>
      <c r="I50" s="11">
        <v>1.5</v>
      </c>
      <c r="J50" s="11">
        <v>1.4</v>
      </c>
      <c r="K50" s="11">
        <v>1.6</v>
      </c>
    </row>
    <row r="51" ht="14.25" customHeight="1">
      <c r="A51" s="11" t="s">
        <v>127</v>
      </c>
      <c r="B51" s="43" t="s">
        <v>128</v>
      </c>
      <c r="C51" s="44">
        <v>0.7</v>
      </c>
      <c r="D51" s="44">
        <v>0.8</v>
      </c>
      <c r="E51" s="44">
        <v>1.6</v>
      </c>
      <c r="F51" s="44">
        <v>2.1</v>
      </c>
      <c r="G51" s="11">
        <v>2.5</v>
      </c>
      <c r="H51" s="11">
        <v>2.2</v>
      </c>
      <c r="I51" s="11">
        <v>2.5</v>
      </c>
      <c r="J51" s="11">
        <v>2.0</v>
      </c>
      <c r="K51" s="11">
        <v>1.6</v>
      </c>
    </row>
    <row r="52" ht="14.25" customHeight="1">
      <c r="A52" s="11" t="s">
        <v>129</v>
      </c>
      <c r="B52" s="43" t="s">
        <v>130</v>
      </c>
      <c r="C52" s="44">
        <v>8.2</v>
      </c>
      <c r="D52" s="44">
        <v>8.3</v>
      </c>
      <c r="E52" s="44">
        <v>8.7</v>
      </c>
      <c r="F52" s="44">
        <v>7.9</v>
      </c>
      <c r="G52" s="11">
        <v>8.0</v>
      </c>
      <c r="H52" s="11">
        <v>7.7</v>
      </c>
      <c r="I52" s="11">
        <v>8.4</v>
      </c>
      <c r="J52" s="11">
        <v>7.3</v>
      </c>
      <c r="K52" s="11">
        <v>7.6</v>
      </c>
    </row>
    <row r="53" ht="14.25" customHeight="1">
      <c r="A53" s="11" t="s">
        <v>131</v>
      </c>
      <c r="B53" s="43" t="s">
        <v>132</v>
      </c>
      <c r="C53" s="44">
        <v>1.5</v>
      </c>
      <c r="D53" s="44">
        <v>1.4</v>
      </c>
      <c r="E53" s="44">
        <v>1.7</v>
      </c>
      <c r="F53" s="44">
        <v>2.0</v>
      </c>
      <c r="G53" s="11">
        <v>2.0</v>
      </c>
      <c r="H53" s="11">
        <v>2.3</v>
      </c>
      <c r="I53" s="11">
        <v>2.3</v>
      </c>
      <c r="J53" s="11">
        <v>2.3</v>
      </c>
      <c r="K53" s="11">
        <v>2.7</v>
      </c>
    </row>
    <row r="54" ht="14.25" customHeight="1">
      <c r="A54" s="11" t="s">
        <v>133</v>
      </c>
      <c r="B54" s="43" t="s">
        <v>134</v>
      </c>
      <c r="C54" s="44">
        <v>2.1</v>
      </c>
      <c r="D54" s="44">
        <v>3.6</v>
      </c>
      <c r="E54" s="44">
        <v>3.9</v>
      </c>
      <c r="F54" s="44">
        <v>2.9</v>
      </c>
      <c r="G54" s="11">
        <v>3.3</v>
      </c>
      <c r="H54" s="11">
        <v>3.3</v>
      </c>
      <c r="I54" s="11">
        <v>3.3</v>
      </c>
      <c r="J54" s="11">
        <v>4.1</v>
      </c>
      <c r="K54" s="11">
        <v>3.6</v>
      </c>
    </row>
    <row r="55" ht="14.25" customHeight="1">
      <c r="A55" s="11" t="s">
        <v>135</v>
      </c>
      <c r="B55" s="43" t="s">
        <v>136</v>
      </c>
      <c r="C55" s="44">
        <v>6.9</v>
      </c>
      <c r="D55" s="44">
        <v>6.5</v>
      </c>
      <c r="E55" s="44">
        <v>6.7</v>
      </c>
      <c r="F55" s="44">
        <v>7.4</v>
      </c>
      <c r="G55" s="11">
        <v>7.6</v>
      </c>
      <c r="H55" s="11">
        <v>7.7</v>
      </c>
      <c r="I55" s="11">
        <v>6.7</v>
      </c>
      <c r="J55" s="11">
        <v>6.7</v>
      </c>
      <c r="K55" s="11">
        <v>6.5</v>
      </c>
    </row>
    <row r="56" ht="14.25" customHeight="1">
      <c r="A56" s="11" t="s">
        <v>137</v>
      </c>
      <c r="B56" s="43" t="s">
        <v>138</v>
      </c>
      <c r="C56" s="44">
        <v>1.4</v>
      </c>
      <c r="D56" s="44">
        <v>1.4</v>
      </c>
      <c r="E56" s="44">
        <v>1.2</v>
      </c>
      <c r="F56" s="44">
        <v>1.2</v>
      </c>
      <c r="G56" s="11">
        <v>1.2</v>
      </c>
      <c r="H56" s="11">
        <v>0.9</v>
      </c>
      <c r="I56" s="11">
        <v>1.4</v>
      </c>
      <c r="J56" s="11">
        <v>1.4</v>
      </c>
      <c r="K56" s="11">
        <v>1.3</v>
      </c>
    </row>
    <row r="57" ht="14.25" customHeight="1">
      <c r="A57" s="11" t="s">
        <v>139</v>
      </c>
      <c r="B57" s="43" t="s">
        <v>140</v>
      </c>
      <c r="C57" s="44">
        <v>2.1</v>
      </c>
      <c r="D57" s="44">
        <v>2.1</v>
      </c>
      <c r="E57" s="44">
        <v>2.2</v>
      </c>
      <c r="F57" s="44">
        <v>2.9</v>
      </c>
      <c r="G57" s="11">
        <v>2.4</v>
      </c>
      <c r="H57" s="11">
        <v>2.2</v>
      </c>
      <c r="I57" s="11">
        <v>2.6</v>
      </c>
      <c r="J57" s="11">
        <v>2.6</v>
      </c>
      <c r="K57" s="11">
        <v>2.6</v>
      </c>
    </row>
    <row r="58" ht="14.25" customHeight="1">
      <c r="A58" s="11" t="s">
        <v>141</v>
      </c>
      <c r="B58" s="43" t="s">
        <v>142</v>
      </c>
      <c r="C58" s="44">
        <v>4.6</v>
      </c>
      <c r="D58" s="44">
        <v>3.6</v>
      </c>
      <c r="E58" s="44">
        <v>3.1</v>
      </c>
      <c r="F58" s="44">
        <v>4.7</v>
      </c>
      <c r="G58" s="11">
        <v>4.1</v>
      </c>
      <c r="H58" s="11">
        <v>3.9</v>
      </c>
      <c r="I58" s="11">
        <v>3.4</v>
      </c>
      <c r="J58" s="11">
        <v>4.1</v>
      </c>
      <c r="K58" s="11">
        <v>3.9</v>
      </c>
    </row>
    <row r="59" ht="14.25" customHeight="1">
      <c r="A59" s="11" t="s">
        <v>520</v>
      </c>
      <c r="B59" s="43" t="s">
        <v>272</v>
      </c>
      <c r="C59" s="44">
        <v>0.2</v>
      </c>
      <c r="D59" s="44">
        <v>0.2</v>
      </c>
      <c r="E59" s="44">
        <v>0.5</v>
      </c>
      <c r="F59" s="44">
        <v>0.5</v>
      </c>
      <c r="G59" s="11">
        <v>0.7</v>
      </c>
      <c r="H59" s="11">
        <v>1.0</v>
      </c>
      <c r="I59" s="11">
        <v>0.3</v>
      </c>
      <c r="J59" s="11">
        <v>0.4</v>
      </c>
      <c r="K59" s="11">
        <v>0.4</v>
      </c>
    </row>
    <row r="60" ht="14.25" customHeight="1">
      <c r="A60" s="11" t="s">
        <v>147</v>
      </c>
      <c r="B60" s="43" t="s">
        <v>148</v>
      </c>
      <c r="C60" s="44">
        <v>1.9</v>
      </c>
      <c r="D60" s="44">
        <v>2.8</v>
      </c>
      <c r="E60" s="44">
        <v>1.5</v>
      </c>
      <c r="F60" s="44">
        <v>1.8</v>
      </c>
      <c r="G60" s="11">
        <v>1.5</v>
      </c>
      <c r="H60" s="11">
        <v>1.5</v>
      </c>
      <c r="I60" s="11">
        <v>1.5</v>
      </c>
      <c r="J60" s="11">
        <v>2.8</v>
      </c>
      <c r="K60" s="11">
        <v>2.3</v>
      </c>
    </row>
    <row r="61" ht="14.25" customHeight="1">
      <c r="A61" s="11" t="s">
        <v>149</v>
      </c>
      <c r="B61" s="43" t="s">
        <v>150</v>
      </c>
      <c r="C61" s="44">
        <v>2.3</v>
      </c>
      <c r="D61" s="44">
        <v>1.3</v>
      </c>
      <c r="E61" s="44">
        <v>2.0</v>
      </c>
      <c r="F61" s="44">
        <v>2.5</v>
      </c>
      <c r="G61" s="11">
        <v>2.6</v>
      </c>
      <c r="H61" s="11">
        <v>2.6</v>
      </c>
      <c r="I61" s="11">
        <v>2.5</v>
      </c>
      <c r="J61" s="11">
        <v>3.3</v>
      </c>
      <c r="K61" s="11">
        <v>3.5</v>
      </c>
    </row>
    <row r="62" ht="14.25" customHeight="1">
      <c r="A62" s="11" t="s">
        <v>151</v>
      </c>
      <c r="B62" s="43" t="s">
        <v>152</v>
      </c>
      <c r="C62" s="44">
        <v>4.2</v>
      </c>
      <c r="D62" s="44">
        <v>4.4</v>
      </c>
      <c r="E62" s="44">
        <v>5.2</v>
      </c>
      <c r="F62" s="44">
        <v>5.2</v>
      </c>
      <c r="G62" s="11">
        <v>4.9</v>
      </c>
      <c r="H62" s="11">
        <v>5.0</v>
      </c>
      <c r="I62" s="11">
        <v>4.6</v>
      </c>
      <c r="J62" s="11">
        <v>5.4</v>
      </c>
      <c r="K62" s="11">
        <v>5.4</v>
      </c>
    </row>
    <row r="63" ht="14.25" customHeight="1">
      <c r="A63" s="11" t="s">
        <v>157</v>
      </c>
      <c r="B63" s="43" t="s">
        <v>158</v>
      </c>
      <c r="C63" s="44">
        <v>0.5</v>
      </c>
      <c r="D63" s="44">
        <v>1.0</v>
      </c>
      <c r="E63" s="44">
        <v>1.0</v>
      </c>
      <c r="F63" s="44">
        <v>0.6</v>
      </c>
      <c r="G63" s="11">
        <v>0.9</v>
      </c>
      <c r="H63" s="11">
        <v>1.1</v>
      </c>
      <c r="I63" s="11">
        <v>1.1</v>
      </c>
      <c r="J63" s="11">
        <v>1.2</v>
      </c>
      <c r="K63" s="11">
        <v>0.8</v>
      </c>
    </row>
    <row r="64" ht="14.25" customHeight="1">
      <c r="A64" s="11" t="s">
        <v>159</v>
      </c>
      <c r="B64" s="43" t="s">
        <v>160</v>
      </c>
      <c r="C64" s="44">
        <v>1.8</v>
      </c>
      <c r="D64" s="44">
        <v>1.8</v>
      </c>
      <c r="E64" s="44">
        <v>1.7</v>
      </c>
      <c r="F64" s="44">
        <v>3.8</v>
      </c>
      <c r="G64" s="11">
        <v>0.7</v>
      </c>
      <c r="H64" s="11">
        <v>0.9</v>
      </c>
      <c r="I64" s="11">
        <v>1.1</v>
      </c>
      <c r="J64" s="11">
        <v>1.5</v>
      </c>
      <c r="K64" s="11">
        <v>0.9</v>
      </c>
    </row>
    <row r="65" ht="14.25" customHeight="1">
      <c r="A65" s="11" t="s">
        <v>161</v>
      </c>
      <c r="B65" s="43" t="s">
        <v>162</v>
      </c>
      <c r="C65" s="44">
        <v>3.1</v>
      </c>
      <c r="D65" s="44">
        <v>3.6</v>
      </c>
      <c r="E65" s="44">
        <v>4.2</v>
      </c>
      <c r="F65" s="44">
        <v>3.7</v>
      </c>
      <c r="G65" s="11">
        <v>3.5</v>
      </c>
      <c r="H65" s="11">
        <v>3.5</v>
      </c>
      <c r="I65" s="11">
        <v>3.6</v>
      </c>
      <c r="J65" s="11">
        <v>3.9</v>
      </c>
      <c r="K65" s="11">
        <v>3.8</v>
      </c>
    </row>
    <row r="66" ht="14.25" customHeight="1">
      <c r="A66" s="11" t="s">
        <v>163</v>
      </c>
      <c r="B66" s="43" t="s">
        <v>164</v>
      </c>
      <c r="C66" s="44">
        <v>4.5</v>
      </c>
      <c r="D66" s="44">
        <v>3.4</v>
      </c>
      <c r="E66" s="44">
        <v>3.7</v>
      </c>
      <c r="F66" s="44">
        <v>3.0</v>
      </c>
      <c r="G66" s="11">
        <v>3.2</v>
      </c>
      <c r="H66" s="11">
        <v>3.3</v>
      </c>
      <c r="I66" s="11">
        <v>3.2</v>
      </c>
      <c r="J66" s="11">
        <v>3.3</v>
      </c>
      <c r="K66" s="11">
        <v>2.8</v>
      </c>
    </row>
    <row r="67" ht="14.25" customHeight="1">
      <c r="A67" s="11" t="s">
        <v>165</v>
      </c>
      <c r="B67" s="43" t="s">
        <v>166</v>
      </c>
      <c r="C67" s="44">
        <v>1.3</v>
      </c>
      <c r="D67" s="44">
        <v>0.8</v>
      </c>
      <c r="E67" s="44">
        <v>2.0</v>
      </c>
      <c r="F67" s="44">
        <v>1.6</v>
      </c>
      <c r="G67" s="11">
        <v>1.6</v>
      </c>
      <c r="H67" s="11">
        <v>1.6</v>
      </c>
      <c r="I67" s="11">
        <v>1.6</v>
      </c>
      <c r="J67" s="11">
        <v>1.6</v>
      </c>
      <c r="K67" s="11">
        <v>1.1</v>
      </c>
    </row>
    <row r="68" ht="14.25" customHeight="1">
      <c r="A68" s="11" t="s">
        <v>169</v>
      </c>
      <c r="B68" s="43" t="s">
        <v>170</v>
      </c>
      <c r="C68" s="44">
        <v>4.4</v>
      </c>
      <c r="D68" s="44">
        <v>4.4</v>
      </c>
      <c r="E68" s="44">
        <v>4.2</v>
      </c>
      <c r="F68" s="44">
        <v>4.5</v>
      </c>
      <c r="G68" s="11">
        <v>4.3</v>
      </c>
      <c r="H68" s="11">
        <v>3.9</v>
      </c>
      <c r="I68" s="11">
        <v>4.4</v>
      </c>
      <c r="J68" s="11">
        <v>3.9</v>
      </c>
      <c r="K68" s="11">
        <v>4.2</v>
      </c>
    </row>
    <row r="69" ht="14.25" customHeight="1">
      <c r="A69" s="11" t="s">
        <v>173</v>
      </c>
      <c r="B69" s="43" t="s">
        <v>174</v>
      </c>
      <c r="C69" s="44">
        <v>0.8</v>
      </c>
      <c r="D69" s="44">
        <v>0.8</v>
      </c>
      <c r="E69" s="44">
        <v>1.9</v>
      </c>
      <c r="F69" s="44">
        <v>2.2</v>
      </c>
      <c r="G69" s="11">
        <v>2.2</v>
      </c>
      <c r="H69" s="11">
        <v>2.0</v>
      </c>
      <c r="I69" s="11">
        <v>2.0</v>
      </c>
      <c r="J69" s="11">
        <v>2.0</v>
      </c>
      <c r="K69" s="11">
        <v>1.7</v>
      </c>
    </row>
    <row r="70" ht="14.25" customHeight="1">
      <c r="A70" s="11" t="s">
        <v>179</v>
      </c>
      <c r="B70" s="43" t="s">
        <v>180</v>
      </c>
      <c r="C70" s="44">
        <v>1.9</v>
      </c>
      <c r="D70" s="44">
        <v>2.1</v>
      </c>
      <c r="E70" s="44">
        <v>1.7</v>
      </c>
      <c r="F70" s="44">
        <v>2.3</v>
      </c>
      <c r="G70" s="11">
        <v>2.2</v>
      </c>
      <c r="H70" s="11">
        <v>2.3</v>
      </c>
      <c r="I70" s="11">
        <v>1.9</v>
      </c>
      <c r="J70" s="11">
        <v>1.9</v>
      </c>
      <c r="K70" s="11">
        <v>2.7</v>
      </c>
    </row>
    <row r="71" ht="14.25" customHeight="1">
      <c r="A71" s="11" t="s">
        <v>181</v>
      </c>
      <c r="B71" s="43" t="s">
        <v>182</v>
      </c>
      <c r="C71" s="44">
        <v>2.1</v>
      </c>
      <c r="D71" s="44">
        <v>3.4</v>
      </c>
      <c r="E71" s="44">
        <v>2.9</v>
      </c>
      <c r="F71" s="44">
        <v>2.6</v>
      </c>
      <c r="G71" s="11">
        <v>2.5</v>
      </c>
      <c r="H71" s="11">
        <v>2.6</v>
      </c>
      <c r="I71" s="11">
        <v>2.6</v>
      </c>
      <c r="J71" s="11">
        <v>3.3</v>
      </c>
      <c r="K71" s="11">
        <v>3.1</v>
      </c>
    </row>
    <row r="72" ht="14.25" customHeight="1">
      <c r="A72" s="11" t="s">
        <v>183</v>
      </c>
      <c r="B72" s="43" t="s">
        <v>184</v>
      </c>
      <c r="C72" s="44">
        <v>0.8</v>
      </c>
      <c r="D72" s="44">
        <v>0.4</v>
      </c>
      <c r="E72" s="44">
        <v>0.4</v>
      </c>
      <c r="F72" s="44">
        <v>0.3</v>
      </c>
      <c r="G72" s="11">
        <v>0.4</v>
      </c>
      <c r="H72" s="11">
        <v>0.7</v>
      </c>
      <c r="I72" s="11">
        <v>0.7</v>
      </c>
      <c r="J72" s="11">
        <v>0.4</v>
      </c>
      <c r="K72" s="11">
        <v>0.8</v>
      </c>
    </row>
    <row r="73" ht="14.25" customHeight="1">
      <c r="A73" s="11" t="s">
        <v>185</v>
      </c>
      <c r="B73" s="43" t="s">
        <v>186</v>
      </c>
      <c r="C73" s="44">
        <v>1.2</v>
      </c>
      <c r="D73" s="44">
        <v>1.2</v>
      </c>
      <c r="E73" s="44">
        <v>1.3</v>
      </c>
      <c r="F73" s="44">
        <v>1.3</v>
      </c>
      <c r="G73" s="11">
        <v>2.5</v>
      </c>
      <c r="H73" s="11">
        <v>2.5</v>
      </c>
      <c r="I73" s="11">
        <v>2.5</v>
      </c>
      <c r="J73" s="11">
        <v>2.5</v>
      </c>
      <c r="K73" s="11">
        <v>3.1</v>
      </c>
    </row>
    <row r="74" ht="14.25" customHeight="1">
      <c r="A74" s="11" t="s">
        <v>187</v>
      </c>
      <c r="B74" s="43" t="s">
        <v>188</v>
      </c>
      <c r="C74" s="44">
        <v>1.5</v>
      </c>
      <c r="D74" s="44">
        <v>1.9</v>
      </c>
      <c r="E74" s="44">
        <v>1.9</v>
      </c>
      <c r="F74" s="44">
        <v>2.3</v>
      </c>
      <c r="G74" s="11">
        <v>2.7</v>
      </c>
      <c r="H74" s="11">
        <v>2.9</v>
      </c>
      <c r="I74" s="11">
        <v>2.2</v>
      </c>
      <c r="J74" s="11">
        <v>2.4</v>
      </c>
      <c r="K74" s="11">
        <v>2.8</v>
      </c>
    </row>
    <row r="75" ht="14.25" customHeight="1">
      <c r="A75" s="11" t="s">
        <v>191</v>
      </c>
      <c r="B75" s="43" t="s">
        <v>192</v>
      </c>
      <c r="C75" s="44">
        <v>2.0</v>
      </c>
      <c r="D75" s="44">
        <v>2.6</v>
      </c>
      <c r="E75" s="44">
        <v>2.5</v>
      </c>
      <c r="F75" s="44">
        <v>2.8</v>
      </c>
      <c r="G75" s="11">
        <v>3.3</v>
      </c>
      <c r="H75" s="11">
        <v>2.0</v>
      </c>
      <c r="I75" s="11">
        <v>2.0</v>
      </c>
      <c r="J75" s="11">
        <v>2.0</v>
      </c>
      <c r="K75" s="11">
        <v>1.7</v>
      </c>
    </row>
    <row r="76" ht="14.25" customHeight="1">
      <c r="A76" s="11" t="s">
        <v>521</v>
      </c>
      <c r="B76" s="43" t="s">
        <v>90</v>
      </c>
      <c r="C76" s="44">
        <v>2.9</v>
      </c>
      <c r="D76" s="44">
        <v>2.3</v>
      </c>
      <c r="E76" s="44">
        <v>1.9</v>
      </c>
      <c r="F76" s="44">
        <v>1.9</v>
      </c>
      <c r="G76" s="11">
        <v>1.8</v>
      </c>
      <c r="H76" s="11">
        <v>1.8</v>
      </c>
      <c r="I76" s="11">
        <v>1.8</v>
      </c>
      <c r="J76" s="11">
        <v>1.9</v>
      </c>
      <c r="K76" s="11">
        <v>3.8</v>
      </c>
    </row>
    <row r="77" ht="14.25" customHeight="1">
      <c r="A77" s="11" t="s">
        <v>193</v>
      </c>
      <c r="B77" s="43" t="s">
        <v>194</v>
      </c>
      <c r="C77" s="44">
        <v>2.9</v>
      </c>
      <c r="D77" s="44">
        <v>2.8</v>
      </c>
      <c r="E77" s="44">
        <v>2.2</v>
      </c>
      <c r="F77" s="44">
        <v>3.3</v>
      </c>
      <c r="G77" s="11">
        <v>3.3</v>
      </c>
      <c r="H77" s="11">
        <v>2.7</v>
      </c>
      <c r="I77" s="11">
        <v>2.8</v>
      </c>
      <c r="J77" s="11">
        <v>3.1</v>
      </c>
      <c r="K77" s="11">
        <v>2.3</v>
      </c>
    </row>
    <row r="78" ht="14.25" customHeight="1">
      <c r="A78" s="11" t="s">
        <v>195</v>
      </c>
      <c r="B78" s="43" t="s">
        <v>196</v>
      </c>
      <c r="C78" s="44">
        <v>3.4</v>
      </c>
      <c r="D78" s="44">
        <v>2.6</v>
      </c>
      <c r="E78" s="44">
        <v>3.6</v>
      </c>
      <c r="F78" s="44">
        <v>3.7</v>
      </c>
      <c r="G78" s="11">
        <v>3.7</v>
      </c>
      <c r="H78" s="11">
        <v>3.7</v>
      </c>
      <c r="I78" s="11">
        <v>3.7</v>
      </c>
      <c r="J78" s="11">
        <v>3.6</v>
      </c>
      <c r="K78" s="11">
        <v>3.6</v>
      </c>
    </row>
    <row r="79" ht="14.25" customHeight="1">
      <c r="A79" s="11" t="s">
        <v>197</v>
      </c>
      <c r="B79" s="43" t="s">
        <v>198</v>
      </c>
      <c r="C79" s="44">
        <v>5.0</v>
      </c>
      <c r="D79" s="44">
        <v>4.5</v>
      </c>
      <c r="E79" s="44">
        <v>5.1</v>
      </c>
      <c r="F79" s="44">
        <v>5.1</v>
      </c>
      <c r="G79" s="11">
        <v>5.4</v>
      </c>
      <c r="H79" s="11">
        <v>5.9</v>
      </c>
      <c r="I79" s="11">
        <v>5.6</v>
      </c>
      <c r="J79" s="11">
        <v>5.8</v>
      </c>
      <c r="K79" s="11">
        <v>5.6</v>
      </c>
    </row>
    <row r="80" ht="14.25" customHeight="1">
      <c r="A80" s="11" t="s">
        <v>199</v>
      </c>
      <c r="B80" s="43" t="s">
        <v>200</v>
      </c>
      <c r="C80" s="44">
        <v>8.5</v>
      </c>
      <c r="D80" s="44">
        <v>7.9</v>
      </c>
      <c r="E80" s="44">
        <v>7.6</v>
      </c>
      <c r="F80" s="44">
        <v>8.5</v>
      </c>
      <c r="G80" s="11">
        <v>7.9</v>
      </c>
      <c r="H80" s="11">
        <v>7.7</v>
      </c>
      <c r="I80" s="11">
        <v>7.9</v>
      </c>
      <c r="J80" s="11">
        <v>7.9</v>
      </c>
      <c r="K80" s="11">
        <v>7.4</v>
      </c>
    </row>
    <row r="81" ht="14.25" customHeight="1">
      <c r="A81" s="11" t="s">
        <v>522</v>
      </c>
      <c r="B81" s="43" t="s">
        <v>202</v>
      </c>
      <c r="C81" s="44">
        <v>8.6</v>
      </c>
      <c r="D81" s="44">
        <v>8.0</v>
      </c>
      <c r="E81" s="44">
        <v>8.5</v>
      </c>
      <c r="F81" s="44">
        <v>8.5</v>
      </c>
      <c r="G81" s="11">
        <v>8.4</v>
      </c>
      <c r="H81" s="11">
        <v>8.5</v>
      </c>
      <c r="I81" s="11">
        <v>8.1</v>
      </c>
      <c r="J81" s="11">
        <v>8.2</v>
      </c>
      <c r="K81" s="11">
        <v>8.2</v>
      </c>
    </row>
    <row r="82" ht="14.25" customHeight="1">
      <c r="A82" s="11" t="s">
        <v>203</v>
      </c>
      <c r="B82" s="43" t="s">
        <v>204</v>
      </c>
      <c r="C82" s="44">
        <v>6.4</v>
      </c>
      <c r="D82" s="44">
        <v>6.4</v>
      </c>
      <c r="E82" s="44">
        <v>7.3</v>
      </c>
      <c r="F82" s="44">
        <v>6.8</v>
      </c>
      <c r="G82" s="11">
        <v>6.4</v>
      </c>
      <c r="H82" s="11">
        <v>7.2</v>
      </c>
      <c r="I82" s="11">
        <v>7.1</v>
      </c>
      <c r="J82" s="11">
        <v>6.0</v>
      </c>
      <c r="K82" s="11">
        <v>6.5</v>
      </c>
    </row>
    <row r="83" ht="14.25" customHeight="1">
      <c r="A83" s="11" t="s">
        <v>205</v>
      </c>
      <c r="B83" s="43" t="s">
        <v>206</v>
      </c>
      <c r="C83" s="44">
        <v>1.5</v>
      </c>
      <c r="D83" s="44">
        <v>0.8</v>
      </c>
      <c r="E83" s="44">
        <v>1.0</v>
      </c>
      <c r="F83" s="44">
        <v>0.8</v>
      </c>
      <c r="G83" s="11">
        <v>1.0</v>
      </c>
      <c r="H83" s="11">
        <v>1.0</v>
      </c>
      <c r="I83" s="11">
        <v>1.5</v>
      </c>
      <c r="J83" s="11">
        <v>1.0</v>
      </c>
      <c r="K83" s="11">
        <v>1.0</v>
      </c>
    </row>
    <row r="84" ht="14.25" customHeight="1">
      <c r="A84" s="11" t="s">
        <v>209</v>
      </c>
      <c r="B84" s="43" t="s">
        <v>210</v>
      </c>
      <c r="C84" s="44">
        <v>5.7</v>
      </c>
      <c r="D84" s="44">
        <v>5.5</v>
      </c>
      <c r="E84" s="44">
        <v>6.0</v>
      </c>
      <c r="F84" s="44">
        <v>6.5</v>
      </c>
      <c r="G84" s="11">
        <v>5.5</v>
      </c>
      <c r="H84" s="11">
        <v>6.0</v>
      </c>
      <c r="I84" s="11">
        <v>6.0</v>
      </c>
      <c r="J84" s="11">
        <v>6.5</v>
      </c>
      <c r="K84" s="11">
        <v>5.7</v>
      </c>
    </row>
    <row r="85" ht="14.25" customHeight="1">
      <c r="A85" s="11" t="s">
        <v>211</v>
      </c>
      <c r="B85" s="43" t="s">
        <v>212</v>
      </c>
      <c r="C85" s="44">
        <v>2.0</v>
      </c>
      <c r="D85" s="44">
        <v>2.3</v>
      </c>
      <c r="E85" s="44">
        <v>3.0</v>
      </c>
      <c r="F85" s="44">
        <v>3.0</v>
      </c>
      <c r="G85" s="11">
        <v>2.9</v>
      </c>
      <c r="H85" s="11">
        <v>2.9</v>
      </c>
      <c r="I85" s="11">
        <v>2.9</v>
      </c>
      <c r="J85" s="11">
        <v>2.9</v>
      </c>
      <c r="K85" s="11">
        <v>2.9</v>
      </c>
    </row>
    <row r="86" ht="14.25" customHeight="1">
      <c r="A86" s="11" t="s">
        <v>523</v>
      </c>
      <c r="B86" s="43" t="s">
        <v>104</v>
      </c>
      <c r="C86" s="44">
        <v>0.7</v>
      </c>
      <c r="D86" s="44">
        <v>1.3</v>
      </c>
      <c r="E86" s="44">
        <v>0.9</v>
      </c>
      <c r="F86" s="44">
        <v>1.7</v>
      </c>
      <c r="G86" s="11">
        <v>1.0</v>
      </c>
      <c r="H86" s="11">
        <v>1.3</v>
      </c>
      <c r="I86" s="11">
        <v>1.4</v>
      </c>
      <c r="J86" s="11">
        <v>1.3</v>
      </c>
      <c r="K86" s="11">
        <v>1.2</v>
      </c>
    </row>
    <row r="87" ht="14.25" customHeight="1">
      <c r="A87" s="11" t="s">
        <v>213</v>
      </c>
      <c r="B87" s="43" t="s">
        <v>214</v>
      </c>
      <c r="C87" s="44">
        <v>1.2</v>
      </c>
      <c r="D87" s="44">
        <v>1.2</v>
      </c>
      <c r="E87" s="44">
        <v>1.4</v>
      </c>
      <c r="F87" s="44">
        <v>1.4</v>
      </c>
      <c r="G87" s="11">
        <v>1.4</v>
      </c>
      <c r="H87" s="11">
        <v>1.4</v>
      </c>
      <c r="I87" s="11">
        <v>2.1</v>
      </c>
      <c r="J87" s="11">
        <v>2.0</v>
      </c>
      <c r="K87" s="11">
        <v>2.4</v>
      </c>
    </row>
    <row r="88" ht="14.25" customHeight="1">
      <c r="A88" s="11" t="s">
        <v>215</v>
      </c>
      <c r="B88" s="43" t="s">
        <v>216</v>
      </c>
      <c r="C88" s="44">
        <v>1.1</v>
      </c>
      <c r="D88" s="44">
        <v>0.7</v>
      </c>
      <c r="E88" s="44">
        <v>0.8</v>
      </c>
      <c r="F88" s="44">
        <v>0.8</v>
      </c>
      <c r="G88" s="11">
        <v>0.9</v>
      </c>
      <c r="H88" s="11">
        <v>0.8</v>
      </c>
      <c r="I88" s="11">
        <v>0.8</v>
      </c>
      <c r="J88" s="11">
        <v>0.5</v>
      </c>
      <c r="K88" s="11">
        <v>0.8</v>
      </c>
    </row>
    <row r="89" ht="14.25" customHeight="1">
      <c r="A89" s="11" t="s">
        <v>217</v>
      </c>
      <c r="B89" s="43" t="s">
        <v>218</v>
      </c>
      <c r="C89" s="44">
        <v>6.2</v>
      </c>
      <c r="D89" s="44">
        <v>5.5</v>
      </c>
      <c r="E89" s="44">
        <v>5.6</v>
      </c>
      <c r="F89" s="44">
        <v>5.9</v>
      </c>
      <c r="G89" s="11">
        <v>5.3</v>
      </c>
      <c r="H89" s="11">
        <v>4.9</v>
      </c>
      <c r="I89" s="11">
        <v>4.9</v>
      </c>
      <c r="J89" s="11">
        <v>4.8</v>
      </c>
      <c r="K89" s="11">
        <v>5.5</v>
      </c>
    </row>
    <row r="90" ht="14.25" customHeight="1">
      <c r="A90" s="11" t="s">
        <v>219</v>
      </c>
      <c r="B90" s="43" t="s">
        <v>220</v>
      </c>
      <c r="C90" s="44">
        <v>6.0</v>
      </c>
      <c r="D90" s="44">
        <v>7.5</v>
      </c>
      <c r="E90" s="44">
        <v>6.7</v>
      </c>
      <c r="F90" s="44">
        <v>7.5</v>
      </c>
      <c r="G90" s="11">
        <v>7.1</v>
      </c>
      <c r="H90" s="11">
        <v>7.0</v>
      </c>
      <c r="I90" s="11">
        <v>7.0</v>
      </c>
      <c r="J90" s="11">
        <v>7.0</v>
      </c>
      <c r="K90" s="11">
        <v>7.0</v>
      </c>
    </row>
    <row r="91" ht="14.25" customHeight="1">
      <c r="A91" s="11" t="s">
        <v>221</v>
      </c>
      <c r="B91" s="43" t="s">
        <v>222</v>
      </c>
      <c r="C91" s="44">
        <v>3.4</v>
      </c>
      <c r="D91" s="44">
        <v>3.6</v>
      </c>
      <c r="E91" s="44">
        <v>3.3</v>
      </c>
      <c r="F91" s="44">
        <v>3.3</v>
      </c>
      <c r="G91" s="11">
        <v>3.3</v>
      </c>
      <c r="H91" s="11">
        <v>3.2</v>
      </c>
      <c r="I91" s="11">
        <v>3.1</v>
      </c>
      <c r="J91" s="11">
        <v>3.2</v>
      </c>
      <c r="K91" s="11">
        <v>3.5</v>
      </c>
    </row>
    <row r="92" ht="14.25" customHeight="1">
      <c r="A92" s="11" t="s">
        <v>223</v>
      </c>
      <c r="B92" s="43" t="s">
        <v>224</v>
      </c>
      <c r="C92" s="44">
        <v>0.9</v>
      </c>
      <c r="D92" s="44">
        <v>0.9</v>
      </c>
      <c r="E92" s="44">
        <v>0.9</v>
      </c>
      <c r="F92" s="44">
        <v>0.9</v>
      </c>
      <c r="G92" s="11">
        <v>0.9</v>
      </c>
      <c r="H92" s="11">
        <v>0.9</v>
      </c>
      <c r="I92" s="11">
        <v>0.9</v>
      </c>
      <c r="J92" s="11">
        <v>1.1</v>
      </c>
      <c r="K92" s="11">
        <v>1.4</v>
      </c>
    </row>
    <row r="93" ht="14.25" customHeight="1">
      <c r="A93" s="11" t="s">
        <v>524</v>
      </c>
      <c r="B93" s="43" t="s">
        <v>525</v>
      </c>
      <c r="C93" s="44">
        <v>2.5</v>
      </c>
      <c r="D93" s="44">
        <v>2.6</v>
      </c>
      <c r="E93" s="44">
        <v>3.2</v>
      </c>
      <c r="F93" s="44">
        <v>3.1</v>
      </c>
      <c r="G93" s="11">
        <v>2.7</v>
      </c>
      <c r="H93" s="11">
        <v>2.4</v>
      </c>
      <c r="I93" s="11">
        <v>2.9</v>
      </c>
      <c r="J93" s="11">
        <v>2.8</v>
      </c>
      <c r="K93" s="11">
        <v>2.8</v>
      </c>
    </row>
    <row r="94" ht="14.25" customHeight="1">
      <c r="A94" s="11" t="s">
        <v>225</v>
      </c>
      <c r="B94" s="43" t="s">
        <v>226</v>
      </c>
      <c r="C94" s="44">
        <v>5.4</v>
      </c>
      <c r="D94" s="44">
        <v>5.4</v>
      </c>
      <c r="E94" s="44">
        <v>5.9</v>
      </c>
      <c r="F94" s="44">
        <v>6.4</v>
      </c>
      <c r="G94" s="11">
        <v>6.1</v>
      </c>
      <c r="H94" s="11">
        <v>5.6</v>
      </c>
      <c r="I94" s="11">
        <v>6.2</v>
      </c>
      <c r="J94" s="11">
        <v>5.9</v>
      </c>
      <c r="K94" s="11">
        <v>5.6</v>
      </c>
    </row>
    <row r="95" ht="14.25" customHeight="1">
      <c r="A95" s="11" t="s">
        <v>227</v>
      </c>
      <c r="B95" s="43" t="s">
        <v>228</v>
      </c>
      <c r="C95" s="44">
        <v>5.7</v>
      </c>
      <c r="D95" s="44">
        <v>6.0</v>
      </c>
      <c r="E95" s="44">
        <v>6.4</v>
      </c>
      <c r="F95" s="44">
        <v>6.5</v>
      </c>
      <c r="G95" s="11">
        <v>5.7</v>
      </c>
      <c r="H95" s="11">
        <v>6.5</v>
      </c>
      <c r="I95" s="11">
        <v>6.6</v>
      </c>
      <c r="J95" s="11">
        <v>5.7</v>
      </c>
      <c r="K95" s="11">
        <v>5.7</v>
      </c>
    </row>
    <row r="96" ht="14.25" customHeight="1">
      <c r="A96" s="11" t="s">
        <v>526</v>
      </c>
      <c r="B96" s="43" t="s">
        <v>230</v>
      </c>
      <c r="C96" s="44">
        <v>6.1</v>
      </c>
      <c r="D96" s="44">
        <v>7.0</v>
      </c>
      <c r="E96" s="44">
        <v>5.7</v>
      </c>
      <c r="F96" s="44">
        <v>6.9</v>
      </c>
      <c r="G96" s="11">
        <v>6.9</v>
      </c>
      <c r="H96" s="11">
        <v>6.2</v>
      </c>
      <c r="I96" s="11">
        <v>6.1</v>
      </c>
      <c r="J96" s="11">
        <v>6.0</v>
      </c>
      <c r="K96" s="11">
        <v>6.5</v>
      </c>
    </row>
    <row r="97" ht="14.25" customHeight="1">
      <c r="A97" s="11" t="s">
        <v>231</v>
      </c>
      <c r="B97" s="43" t="s">
        <v>232</v>
      </c>
      <c r="C97" s="44">
        <v>2.9</v>
      </c>
      <c r="D97" s="44">
        <v>2.8</v>
      </c>
      <c r="E97" s="44">
        <v>2.6</v>
      </c>
      <c r="F97" s="44">
        <v>2.4</v>
      </c>
      <c r="G97" s="11">
        <v>2.6</v>
      </c>
      <c r="H97" s="11">
        <v>2.6</v>
      </c>
      <c r="I97" s="11">
        <v>2.6</v>
      </c>
      <c r="J97" s="11">
        <v>2.4</v>
      </c>
      <c r="K97" s="11">
        <v>2.4</v>
      </c>
    </row>
    <row r="98" ht="14.25" customHeight="1">
      <c r="A98" s="11" t="s">
        <v>233</v>
      </c>
      <c r="B98" s="43" t="s">
        <v>234</v>
      </c>
      <c r="C98" s="44">
        <v>4.0</v>
      </c>
      <c r="D98" s="44">
        <v>3.7</v>
      </c>
      <c r="E98" s="44">
        <v>3.1</v>
      </c>
      <c r="F98" s="44">
        <v>4.0</v>
      </c>
      <c r="G98" s="11">
        <v>3.5</v>
      </c>
      <c r="H98" s="11">
        <v>4.1</v>
      </c>
      <c r="I98" s="11">
        <v>4.6</v>
      </c>
      <c r="J98" s="11">
        <v>4.1</v>
      </c>
      <c r="K98" s="11">
        <v>3.8</v>
      </c>
    </row>
    <row r="99" ht="14.25" customHeight="1">
      <c r="A99" s="11" t="s">
        <v>235</v>
      </c>
      <c r="B99" s="43" t="s">
        <v>236</v>
      </c>
      <c r="C99" s="44">
        <v>0.5</v>
      </c>
      <c r="D99" s="44">
        <v>0.7</v>
      </c>
      <c r="E99" s="44">
        <v>0.8</v>
      </c>
      <c r="F99" s="44">
        <v>0.7</v>
      </c>
      <c r="G99" s="11">
        <v>0.7</v>
      </c>
      <c r="H99" s="11">
        <v>0.6</v>
      </c>
      <c r="I99" s="11">
        <v>0.6</v>
      </c>
      <c r="J99" s="11">
        <v>1.3</v>
      </c>
      <c r="K99" s="11">
        <v>1.1</v>
      </c>
    </row>
    <row r="100" ht="14.25" customHeight="1">
      <c r="A100" s="11" t="s">
        <v>237</v>
      </c>
      <c r="B100" s="43" t="s">
        <v>238</v>
      </c>
      <c r="C100" s="44">
        <v>1.4</v>
      </c>
      <c r="D100" s="44">
        <v>1.4</v>
      </c>
      <c r="E100" s="44">
        <v>1.6</v>
      </c>
      <c r="F100" s="44">
        <v>1.7</v>
      </c>
      <c r="G100" s="11">
        <v>2.6</v>
      </c>
      <c r="H100" s="11">
        <v>2.1</v>
      </c>
      <c r="I100" s="11">
        <v>1.4</v>
      </c>
      <c r="J100" s="11">
        <v>1.5</v>
      </c>
      <c r="K100" s="11">
        <v>1.4</v>
      </c>
    </row>
    <row r="101" ht="14.25" customHeight="1">
      <c r="A101" s="11" t="s">
        <v>239</v>
      </c>
      <c r="B101" s="43" t="s">
        <v>240</v>
      </c>
      <c r="C101" s="44">
        <v>4.7</v>
      </c>
      <c r="D101" s="44">
        <v>4.7</v>
      </c>
      <c r="E101" s="44">
        <v>3.9</v>
      </c>
      <c r="F101" s="44">
        <v>3.4</v>
      </c>
      <c r="G101" s="11">
        <v>4.1</v>
      </c>
      <c r="H101" s="11">
        <v>5.5</v>
      </c>
      <c r="I101" s="11">
        <v>5.8</v>
      </c>
      <c r="J101" s="11">
        <v>5.8</v>
      </c>
      <c r="K101" s="11">
        <v>6.0</v>
      </c>
    </row>
    <row r="102" ht="14.25" customHeight="1">
      <c r="A102" s="11" t="s">
        <v>241</v>
      </c>
      <c r="B102" s="43" t="s">
        <v>242</v>
      </c>
      <c r="C102" s="44">
        <v>1.9</v>
      </c>
      <c r="D102" s="44">
        <v>2.1</v>
      </c>
      <c r="E102" s="44">
        <v>2.2</v>
      </c>
      <c r="F102" s="44">
        <v>2.5</v>
      </c>
      <c r="G102" s="11">
        <v>2.5</v>
      </c>
      <c r="H102" s="11">
        <v>2.0</v>
      </c>
      <c r="I102" s="11">
        <v>2.0</v>
      </c>
      <c r="J102" s="11">
        <v>2.5</v>
      </c>
      <c r="K102" s="11">
        <v>2.0</v>
      </c>
    </row>
    <row r="103" ht="14.25" customHeight="1">
      <c r="A103" s="11" t="s">
        <v>243</v>
      </c>
      <c r="B103" s="43" t="s">
        <v>244</v>
      </c>
      <c r="C103" s="44">
        <v>2.3</v>
      </c>
      <c r="D103" s="44">
        <v>2.1</v>
      </c>
      <c r="E103" s="44">
        <v>2.3</v>
      </c>
      <c r="F103" s="44">
        <v>2.1</v>
      </c>
      <c r="G103" s="11">
        <v>2.5</v>
      </c>
      <c r="H103" s="11">
        <v>2.8</v>
      </c>
      <c r="I103" s="11">
        <v>2.8</v>
      </c>
      <c r="J103" s="11">
        <v>2.3</v>
      </c>
      <c r="K103" s="11">
        <v>2.8</v>
      </c>
    </row>
    <row r="104" ht="14.25" customHeight="1">
      <c r="A104" s="11" t="s">
        <v>245</v>
      </c>
      <c r="B104" s="43" t="s">
        <v>246</v>
      </c>
      <c r="C104" s="44">
        <v>1.5</v>
      </c>
      <c r="D104" s="44">
        <v>1.5</v>
      </c>
      <c r="E104" s="44">
        <v>2.3</v>
      </c>
      <c r="F104" s="44">
        <v>2.1</v>
      </c>
      <c r="G104" s="11">
        <v>2.5</v>
      </c>
      <c r="H104" s="11">
        <v>3.1</v>
      </c>
      <c r="I104" s="11">
        <v>2.9</v>
      </c>
      <c r="J104" s="11">
        <v>2.9</v>
      </c>
      <c r="K104" s="11">
        <v>3.1</v>
      </c>
    </row>
    <row r="105" ht="14.25" customHeight="1">
      <c r="A105" s="11" t="s">
        <v>527</v>
      </c>
      <c r="B105" s="43" t="s">
        <v>92</v>
      </c>
      <c r="C105" s="44">
        <v>0.8</v>
      </c>
      <c r="D105" s="44">
        <v>0.8</v>
      </c>
      <c r="E105" s="44">
        <v>0.8</v>
      </c>
      <c r="F105" s="44">
        <v>0.8</v>
      </c>
      <c r="G105" s="11">
        <v>1.0</v>
      </c>
      <c r="H105" s="11">
        <v>1.1</v>
      </c>
      <c r="I105" s="11">
        <v>1.1</v>
      </c>
      <c r="J105" s="11">
        <v>0.8</v>
      </c>
      <c r="K105" s="11">
        <v>0.4</v>
      </c>
    </row>
    <row r="106" ht="14.25" customHeight="1">
      <c r="A106" s="11" t="s">
        <v>247</v>
      </c>
      <c r="B106" s="43" t="s">
        <v>248</v>
      </c>
      <c r="C106" s="44">
        <v>3.4</v>
      </c>
      <c r="D106" s="44">
        <v>3.1</v>
      </c>
      <c r="E106" s="44">
        <v>2.9</v>
      </c>
      <c r="F106" s="44">
        <v>2.3</v>
      </c>
      <c r="G106" s="11">
        <v>3.0</v>
      </c>
      <c r="H106" s="11">
        <v>2.8</v>
      </c>
      <c r="I106" s="11">
        <v>2.8</v>
      </c>
      <c r="J106" s="11">
        <v>2.8</v>
      </c>
      <c r="K106" s="11">
        <v>3.3</v>
      </c>
    </row>
    <row r="107" ht="14.25" customHeight="1">
      <c r="A107" s="11" t="s">
        <v>249</v>
      </c>
      <c r="B107" s="43" t="s">
        <v>250</v>
      </c>
      <c r="C107" s="44">
        <v>0.8</v>
      </c>
      <c r="D107" s="44">
        <v>1.1</v>
      </c>
      <c r="E107" s="44">
        <v>1.0</v>
      </c>
      <c r="F107" s="44">
        <v>2.1</v>
      </c>
      <c r="G107" s="11">
        <v>2.1</v>
      </c>
      <c r="H107" s="11">
        <v>2.2</v>
      </c>
      <c r="I107" s="11">
        <v>2.2</v>
      </c>
      <c r="J107" s="11">
        <v>2.2</v>
      </c>
      <c r="K107" s="11">
        <v>2.2</v>
      </c>
    </row>
    <row r="108" ht="14.25" customHeight="1">
      <c r="A108" s="11" t="s">
        <v>251</v>
      </c>
      <c r="B108" s="43" t="s">
        <v>252</v>
      </c>
      <c r="C108" s="44">
        <v>7.9</v>
      </c>
      <c r="D108" s="44">
        <v>7.0</v>
      </c>
      <c r="E108" s="44">
        <v>8.0</v>
      </c>
      <c r="F108" s="44">
        <v>8.2</v>
      </c>
      <c r="G108" s="11">
        <v>8.3</v>
      </c>
      <c r="H108" s="11">
        <v>8.2</v>
      </c>
      <c r="I108" s="11">
        <v>8.5</v>
      </c>
      <c r="J108" s="11">
        <v>8.5</v>
      </c>
      <c r="K108" s="11">
        <v>7.7</v>
      </c>
    </row>
    <row r="109" ht="14.25" customHeight="1">
      <c r="A109" s="11" t="s">
        <v>253</v>
      </c>
      <c r="B109" s="43" t="s">
        <v>254</v>
      </c>
      <c r="C109" s="44">
        <v>6.5</v>
      </c>
      <c r="D109" s="44">
        <v>6.8</v>
      </c>
      <c r="E109" s="44">
        <v>6.6</v>
      </c>
      <c r="F109" s="44">
        <v>8.2</v>
      </c>
      <c r="G109" s="11">
        <v>8.2</v>
      </c>
      <c r="H109" s="11">
        <v>8.2</v>
      </c>
      <c r="I109" s="11">
        <v>7.7</v>
      </c>
      <c r="J109" s="11">
        <v>6.7</v>
      </c>
      <c r="K109" s="11">
        <v>6.6</v>
      </c>
    </row>
    <row r="110" ht="14.25" customHeight="1">
      <c r="A110" s="11" t="s">
        <v>255</v>
      </c>
      <c r="B110" s="43" t="s">
        <v>256</v>
      </c>
      <c r="C110" s="44">
        <v>1.8</v>
      </c>
      <c r="D110" s="44">
        <v>0.5</v>
      </c>
      <c r="E110" s="44">
        <v>0.9</v>
      </c>
      <c r="F110" s="44">
        <v>0.6</v>
      </c>
      <c r="G110" s="11">
        <v>1.2</v>
      </c>
      <c r="H110" s="11">
        <v>2.2</v>
      </c>
      <c r="I110" s="11">
        <v>1.7</v>
      </c>
      <c r="J110" s="11">
        <v>2.5</v>
      </c>
      <c r="K110" s="11">
        <v>2.3</v>
      </c>
    </row>
    <row r="111" ht="14.25" customHeight="1">
      <c r="A111" s="11" t="s">
        <v>257</v>
      </c>
      <c r="B111" s="43" t="s">
        <v>258</v>
      </c>
      <c r="C111" s="44">
        <v>1.1</v>
      </c>
      <c r="D111" s="44">
        <v>1.0</v>
      </c>
      <c r="E111" s="44">
        <v>2.0</v>
      </c>
      <c r="F111" s="44">
        <v>2.2</v>
      </c>
      <c r="G111" s="11">
        <v>2.1</v>
      </c>
      <c r="H111" s="11">
        <v>2.1</v>
      </c>
      <c r="I111" s="11">
        <v>2.2</v>
      </c>
      <c r="J111" s="11">
        <v>2.2</v>
      </c>
      <c r="K111" s="11">
        <v>2.0</v>
      </c>
    </row>
    <row r="112" ht="14.25" customHeight="1">
      <c r="A112" s="11" t="s">
        <v>259</v>
      </c>
      <c r="B112" s="43" t="s">
        <v>260</v>
      </c>
      <c r="C112" s="44">
        <v>0.2</v>
      </c>
      <c r="D112" s="44">
        <v>0.2</v>
      </c>
      <c r="E112" s="44">
        <v>0.2</v>
      </c>
      <c r="F112" s="44">
        <v>0.5</v>
      </c>
      <c r="G112" s="11">
        <v>0.6</v>
      </c>
      <c r="H112" s="11">
        <v>0.6</v>
      </c>
      <c r="I112" s="11">
        <v>0.6</v>
      </c>
      <c r="J112" s="11">
        <v>0.4</v>
      </c>
      <c r="K112" s="11">
        <v>0.4</v>
      </c>
    </row>
    <row r="113" ht="14.25" customHeight="1">
      <c r="A113" s="11" t="s">
        <v>263</v>
      </c>
      <c r="B113" s="43" t="s">
        <v>264</v>
      </c>
      <c r="C113" s="44">
        <v>5.9</v>
      </c>
      <c r="D113" s="44">
        <v>5.5</v>
      </c>
      <c r="E113" s="44">
        <v>6.6</v>
      </c>
      <c r="F113" s="44">
        <v>6.6</v>
      </c>
      <c r="G113" s="11">
        <v>6.7</v>
      </c>
      <c r="H113" s="11">
        <v>6.6</v>
      </c>
      <c r="I113" s="11">
        <v>6.1</v>
      </c>
      <c r="J113" s="11">
        <v>6.2</v>
      </c>
      <c r="K113" s="11">
        <v>6.1</v>
      </c>
    </row>
    <row r="114" ht="14.25" customHeight="1">
      <c r="A114" s="11" t="s">
        <v>265</v>
      </c>
      <c r="B114" s="43" t="s">
        <v>266</v>
      </c>
      <c r="C114" s="44">
        <v>1.4</v>
      </c>
      <c r="D114" s="44">
        <v>1.2</v>
      </c>
      <c r="E114" s="44">
        <v>1.5</v>
      </c>
      <c r="F114" s="44">
        <v>1.3</v>
      </c>
      <c r="G114" s="11">
        <v>1.5</v>
      </c>
      <c r="H114" s="11">
        <v>1.5</v>
      </c>
      <c r="I114" s="11">
        <v>1.5</v>
      </c>
      <c r="J114" s="11">
        <v>1.5</v>
      </c>
      <c r="K114" s="11">
        <v>1.7</v>
      </c>
    </row>
    <row r="115" ht="14.25" customHeight="1">
      <c r="A115" s="11" t="s">
        <v>269</v>
      </c>
      <c r="B115" s="43" t="s">
        <v>270</v>
      </c>
      <c r="C115" s="44">
        <v>2.9</v>
      </c>
      <c r="D115" s="44">
        <v>4.1</v>
      </c>
      <c r="E115" s="44">
        <v>3.9</v>
      </c>
      <c r="F115" s="44">
        <v>4.4</v>
      </c>
      <c r="G115" s="11">
        <v>4.1</v>
      </c>
      <c r="H115" s="11">
        <v>4.1</v>
      </c>
      <c r="I115" s="11">
        <v>4.1</v>
      </c>
      <c r="J115" s="11">
        <v>3.3</v>
      </c>
      <c r="K115" s="11">
        <v>3.5</v>
      </c>
    </row>
    <row r="116" ht="14.25" customHeight="1">
      <c r="A116" s="11" t="s">
        <v>528</v>
      </c>
      <c r="B116" s="43" t="s">
        <v>340</v>
      </c>
      <c r="C116" s="44">
        <v>4.4</v>
      </c>
      <c r="D116" s="44">
        <v>3.5</v>
      </c>
      <c r="E116" s="44">
        <v>5.1</v>
      </c>
      <c r="F116" s="44">
        <v>4.6</v>
      </c>
      <c r="G116" s="11">
        <v>4.4</v>
      </c>
      <c r="H116" s="11">
        <v>4.6</v>
      </c>
      <c r="I116" s="11">
        <v>4.6</v>
      </c>
      <c r="J116" s="11">
        <v>4.6</v>
      </c>
      <c r="K116" s="11">
        <v>4.7</v>
      </c>
    </row>
    <row r="117" ht="14.25" customHeight="1">
      <c r="A117" s="11" t="s">
        <v>273</v>
      </c>
      <c r="B117" s="43" t="s">
        <v>274</v>
      </c>
      <c r="C117" s="44">
        <v>2.0</v>
      </c>
      <c r="D117" s="44">
        <v>1.5</v>
      </c>
      <c r="E117" s="44">
        <v>2.5</v>
      </c>
      <c r="F117" s="44">
        <v>2.5</v>
      </c>
      <c r="G117" s="11">
        <v>2.8</v>
      </c>
      <c r="H117" s="11">
        <v>2.8</v>
      </c>
      <c r="I117" s="11">
        <v>2.6</v>
      </c>
      <c r="J117" s="11">
        <v>2.5</v>
      </c>
      <c r="K117" s="11">
        <v>2.1</v>
      </c>
    </row>
    <row r="118" ht="14.25" customHeight="1">
      <c r="A118" s="11" t="s">
        <v>275</v>
      </c>
      <c r="B118" s="43" t="s">
        <v>276</v>
      </c>
      <c r="C118" s="44">
        <v>2.8</v>
      </c>
      <c r="D118" s="44">
        <v>2.5</v>
      </c>
      <c r="E118" s="44">
        <v>3.0</v>
      </c>
      <c r="F118" s="44">
        <v>2.5</v>
      </c>
      <c r="G118" s="11">
        <v>3.1</v>
      </c>
      <c r="H118" s="11">
        <v>3.1</v>
      </c>
      <c r="I118" s="11">
        <v>3.1</v>
      </c>
      <c r="J118" s="11">
        <v>3.0</v>
      </c>
      <c r="K118" s="11">
        <v>3.1</v>
      </c>
    </row>
    <row r="119" ht="14.25" customHeight="1">
      <c r="A119" s="11" t="s">
        <v>277</v>
      </c>
      <c r="B119" s="43" t="s">
        <v>278</v>
      </c>
      <c r="C119" s="44">
        <v>1.9</v>
      </c>
      <c r="D119" s="44">
        <v>1.5</v>
      </c>
      <c r="E119" s="44">
        <v>2.9</v>
      </c>
      <c r="F119" s="44">
        <v>2.3</v>
      </c>
      <c r="G119" s="11">
        <v>2.2</v>
      </c>
      <c r="H119" s="11">
        <v>1.7</v>
      </c>
      <c r="I119" s="11">
        <v>2.9</v>
      </c>
      <c r="J119" s="11">
        <v>3.6</v>
      </c>
      <c r="K119" s="11">
        <v>2.8</v>
      </c>
    </row>
    <row r="120" ht="14.25" customHeight="1">
      <c r="A120" s="11" t="s">
        <v>281</v>
      </c>
      <c r="B120" s="43" t="s">
        <v>282</v>
      </c>
      <c r="C120" s="44">
        <v>6.3</v>
      </c>
      <c r="D120" s="44">
        <v>5.3</v>
      </c>
      <c r="E120" s="44">
        <v>7.5</v>
      </c>
      <c r="F120" s="44">
        <v>7.4</v>
      </c>
      <c r="G120" s="11">
        <v>7.0</v>
      </c>
      <c r="H120" s="11">
        <v>7.2</v>
      </c>
      <c r="I120" s="11">
        <v>6.2</v>
      </c>
      <c r="J120" s="11">
        <v>6.2</v>
      </c>
      <c r="K120" s="11">
        <v>6.2</v>
      </c>
    </row>
    <row r="121" ht="14.25" customHeight="1">
      <c r="A121" s="11" t="s">
        <v>283</v>
      </c>
      <c r="B121" s="43" t="s">
        <v>284</v>
      </c>
      <c r="C121" s="44">
        <v>1.8</v>
      </c>
      <c r="D121" s="44">
        <v>1.5</v>
      </c>
      <c r="E121" s="44">
        <v>0.6</v>
      </c>
      <c r="F121" s="44">
        <v>1.1</v>
      </c>
      <c r="G121" s="11">
        <v>1.4</v>
      </c>
      <c r="H121" s="11">
        <v>3.0</v>
      </c>
      <c r="I121" s="11">
        <v>3.6</v>
      </c>
      <c r="J121" s="11">
        <v>2.6</v>
      </c>
      <c r="K121" s="11">
        <v>2.9</v>
      </c>
    </row>
    <row r="122" ht="14.25" customHeight="1">
      <c r="A122" s="11" t="s">
        <v>285</v>
      </c>
      <c r="B122" s="43" t="s">
        <v>286</v>
      </c>
      <c r="C122" s="44">
        <v>7.7</v>
      </c>
      <c r="D122" s="44">
        <v>6.5</v>
      </c>
      <c r="E122" s="44">
        <v>6.4</v>
      </c>
      <c r="F122" s="44">
        <v>6.9</v>
      </c>
      <c r="G122" s="11">
        <v>6.9</v>
      </c>
      <c r="H122" s="11">
        <v>7.3</v>
      </c>
      <c r="I122" s="11">
        <v>7.6</v>
      </c>
      <c r="J122" s="11">
        <v>7.8</v>
      </c>
      <c r="K122" s="11">
        <v>7.7</v>
      </c>
    </row>
    <row r="123" ht="14.25" customHeight="1">
      <c r="A123" s="11" t="s">
        <v>287</v>
      </c>
      <c r="B123" s="43" t="s">
        <v>288</v>
      </c>
      <c r="C123" s="44">
        <v>0.4</v>
      </c>
      <c r="D123" s="44">
        <v>0.7</v>
      </c>
      <c r="E123" s="44">
        <v>1.6</v>
      </c>
      <c r="F123" s="44">
        <v>1.6</v>
      </c>
      <c r="G123" s="11">
        <v>0.9</v>
      </c>
      <c r="H123" s="11">
        <v>0.9</v>
      </c>
      <c r="I123" s="11">
        <v>1.3</v>
      </c>
      <c r="J123" s="11">
        <v>1.3</v>
      </c>
      <c r="K123" s="11">
        <v>3.8</v>
      </c>
    </row>
    <row r="124" ht="14.25" customHeight="1">
      <c r="A124" s="11" t="s">
        <v>289</v>
      </c>
      <c r="B124" s="43" t="s">
        <v>290</v>
      </c>
      <c r="C124" s="44">
        <v>1.3</v>
      </c>
      <c r="D124" s="44">
        <v>0.8</v>
      </c>
      <c r="E124" s="44">
        <v>1.5</v>
      </c>
      <c r="F124" s="44">
        <v>2.1</v>
      </c>
      <c r="G124" s="11">
        <v>1.5</v>
      </c>
      <c r="H124" s="11">
        <v>1.6</v>
      </c>
      <c r="I124" s="11">
        <v>1.8</v>
      </c>
      <c r="J124" s="11">
        <v>1.6</v>
      </c>
      <c r="K124" s="11">
        <v>1.6</v>
      </c>
    </row>
    <row r="125" ht="14.25" customHeight="1">
      <c r="A125" s="11" t="s">
        <v>291</v>
      </c>
      <c r="B125" s="43" t="s">
        <v>292</v>
      </c>
      <c r="C125" s="44">
        <v>3.9</v>
      </c>
      <c r="D125" s="44">
        <v>3.1</v>
      </c>
      <c r="E125" s="44">
        <v>4.7</v>
      </c>
      <c r="F125" s="44">
        <v>5.2</v>
      </c>
      <c r="G125" s="11">
        <v>4.6</v>
      </c>
      <c r="H125" s="11">
        <v>5.2</v>
      </c>
      <c r="I125" s="11">
        <v>5.2</v>
      </c>
      <c r="J125" s="11">
        <v>4.7</v>
      </c>
      <c r="K125" s="11">
        <v>5.4</v>
      </c>
    </row>
    <row r="126" ht="14.25" customHeight="1">
      <c r="A126" s="11" t="s">
        <v>494</v>
      </c>
      <c r="B126" s="43" t="s">
        <v>294</v>
      </c>
      <c r="C126" s="44">
        <v>1.9</v>
      </c>
      <c r="D126" s="44">
        <v>1.4</v>
      </c>
      <c r="E126" s="44">
        <v>2.2</v>
      </c>
      <c r="F126" s="44">
        <v>1.6</v>
      </c>
      <c r="G126" s="11">
        <v>2.6</v>
      </c>
      <c r="H126" s="11">
        <v>2.8</v>
      </c>
      <c r="I126" s="11">
        <v>3.8</v>
      </c>
      <c r="J126" s="11">
        <v>2.8</v>
      </c>
      <c r="K126" s="11">
        <v>3.8</v>
      </c>
    </row>
    <row r="127" ht="14.25" customHeight="1">
      <c r="A127" s="11" t="s">
        <v>297</v>
      </c>
      <c r="B127" s="43" t="s">
        <v>298</v>
      </c>
      <c r="C127" s="44">
        <v>0.8</v>
      </c>
      <c r="D127" s="44">
        <v>0.0</v>
      </c>
      <c r="E127" s="44">
        <v>0.2</v>
      </c>
      <c r="F127" s="44">
        <v>0.5</v>
      </c>
      <c r="G127" s="11">
        <v>0.5</v>
      </c>
      <c r="H127" s="11">
        <v>1.0</v>
      </c>
      <c r="I127" s="11">
        <v>0.5</v>
      </c>
      <c r="J127" s="11">
        <v>0.2</v>
      </c>
      <c r="K127" s="11">
        <v>0.3</v>
      </c>
    </row>
    <row r="128" ht="14.25" customHeight="1">
      <c r="A128" s="11" t="s">
        <v>299</v>
      </c>
      <c r="B128" s="43" t="s">
        <v>300</v>
      </c>
      <c r="C128" s="44">
        <v>2.4</v>
      </c>
      <c r="D128" s="44">
        <v>2.6</v>
      </c>
      <c r="E128" s="44">
        <v>1.8</v>
      </c>
      <c r="F128" s="44">
        <v>2.1</v>
      </c>
      <c r="G128" s="11">
        <v>1.7</v>
      </c>
      <c r="H128" s="11">
        <v>3.2</v>
      </c>
      <c r="I128" s="11">
        <v>2.8</v>
      </c>
      <c r="J128" s="11">
        <v>2.7</v>
      </c>
      <c r="K128" s="11">
        <v>3.8</v>
      </c>
    </row>
    <row r="129" ht="14.25" customHeight="1">
      <c r="A129" s="11" t="s">
        <v>301</v>
      </c>
      <c r="B129" s="43" t="s">
        <v>302</v>
      </c>
      <c r="C129" s="44">
        <v>1.7</v>
      </c>
      <c r="D129" s="44">
        <v>1.4</v>
      </c>
      <c r="E129" s="44">
        <v>3.6</v>
      </c>
      <c r="F129" s="44">
        <v>3.6</v>
      </c>
      <c r="G129" s="11">
        <v>3.7</v>
      </c>
      <c r="H129" s="11">
        <v>3.7</v>
      </c>
      <c r="I129" s="11">
        <v>4.5</v>
      </c>
      <c r="J129" s="11">
        <v>4.0</v>
      </c>
      <c r="K129" s="11">
        <v>3.8</v>
      </c>
    </row>
    <row r="130" ht="14.25" customHeight="1">
      <c r="A130" s="11" t="s">
        <v>303</v>
      </c>
      <c r="B130" s="43" t="s">
        <v>304</v>
      </c>
      <c r="C130" s="44">
        <v>4.1</v>
      </c>
      <c r="D130" s="44">
        <v>4.3</v>
      </c>
      <c r="E130" s="44">
        <v>4.2</v>
      </c>
      <c r="F130" s="44">
        <v>4.4</v>
      </c>
      <c r="G130" s="11">
        <v>4.9</v>
      </c>
      <c r="H130" s="11">
        <v>4.9</v>
      </c>
      <c r="I130" s="11">
        <v>4.4</v>
      </c>
      <c r="J130" s="11">
        <v>4.3</v>
      </c>
      <c r="K130" s="11">
        <v>4.3</v>
      </c>
    </row>
    <row r="131" ht="14.25" customHeight="1">
      <c r="A131" s="11" t="s">
        <v>307</v>
      </c>
      <c r="B131" s="43" t="s">
        <v>308</v>
      </c>
      <c r="C131" s="44">
        <v>2.5</v>
      </c>
      <c r="D131" s="44">
        <v>3.2</v>
      </c>
      <c r="E131" s="44">
        <v>3.1</v>
      </c>
      <c r="F131" s="44">
        <v>2.3</v>
      </c>
      <c r="G131" s="11">
        <v>2.2</v>
      </c>
      <c r="H131" s="11">
        <v>3.3</v>
      </c>
      <c r="I131" s="11">
        <v>2.8</v>
      </c>
      <c r="J131" s="11">
        <v>2.2</v>
      </c>
      <c r="K131" s="11">
        <v>3.7</v>
      </c>
    </row>
    <row r="132" ht="14.25" customHeight="1">
      <c r="A132" s="11" t="s">
        <v>311</v>
      </c>
      <c r="B132" s="43" t="s">
        <v>312</v>
      </c>
      <c r="C132" s="44">
        <v>2.5</v>
      </c>
      <c r="D132" s="44">
        <v>2.6</v>
      </c>
      <c r="E132" s="44">
        <v>3.0</v>
      </c>
      <c r="F132" s="44">
        <v>2.5</v>
      </c>
      <c r="G132" s="11">
        <v>2.9</v>
      </c>
      <c r="H132" s="11">
        <v>3.2</v>
      </c>
      <c r="I132" s="11">
        <v>3.2</v>
      </c>
      <c r="J132" s="11">
        <v>3.1</v>
      </c>
      <c r="K132" s="11">
        <v>3.0</v>
      </c>
    </row>
    <row r="133" ht="14.25" customHeight="1">
      <c r="A133" s="11" t="s">
        <v>313</v>
      </c>
      <c r="B133" s="43" t="s">
        <v>314</v>
      </c>
      <c r="C133" s="44">
        <v>5.2</v>
      </c>
      <c r="D133" s="44">
        <v>4.7</v>
      </c>
      <c r="E133" s="44">
        <v>4.8</v>
      </c>
      <c r="F133" s="44">
        <v>5.4</v>
      </c>
      <c r="G133" s="11">
        <v>5.4</v>
      </c>
      <c r="H133" s="11">
        <v>5.4</v>
      </c>
      <c r="I133" s="11">
        <v>5.4</v>
      </c>
      <c r="J133" s="11">
        <v>5.3</v>
      </c>
      <c r="K133" s="11">
        <v>5.4</v>
      </c>
    </row>
    <row r="134" ht="14.25" customHeight="1">
      <c r="A134" s="11" t="s">
        <v>315</v>
      </c>
      <c r="B134" s="43" t="s">
        <v>316</v>
      </c>
      <c r="C134" s="44">
        <v>6.4</v>
      </c>
      <c r="D134" s="44">
        <v>6.5</v>
      </c>
      <c r="E134" s="44">
        <v>6.2</v>
      </c>
      <c r="F134" s="44">
        <v>6.5</v>
      </c>
      <c r="G134" s="11">
        <v>6.6</v>
      </c>
      <c r="H134" s="11">
        <v>6.5</v>
      </c>
      <c r="I134" s="11">
        <v>6.3</v>
      </c>
      <c r="J134" s="11">
        <v>6.4</v>
      </c>
      <c r="K134" s="11">
        <v>6.8</v>
      </c>
    </row>
    <row r="135" ht="14.25" customHeight="1">
      <c r="A135" s="11" t="s">
        <v>317</v>
      </c>
      <c r="B135" s="43" t="s">
        <v>318</v>
      </c>
      <c r="C135" s="44">
        <v>0.2</v>
      </c>
      <c r="D135" s="44">
        <v>0.2</v>
      </c>
      <c r="E135" s="44">
        <v>0.2</v>
      </c>
      <c r="F135" s="44">
        <v>0.2</v>
      </c>
      <c r="G135" s="11">
        <v>0.4</v>
      </c>
      <c r="H135" s="11">
        <v>0.7</v>
      </c>
      <c r="I135" s="11">
        <v>0.5</v>
      </c>
      <c r="J135" s="11">
        <v>0.5</v>
      </c>
      <c r="K135" s="11">
        <v>0.5</v>
      </c>
    </row>
    <row r="136" ht="14.25" customHeight="1">
      <c r="A136" s="11" t="s">
        <v>529</v>
      </c>
      <c r="B136" s="43" t="s">
        <v>400</v>
      </c>
      <c r="C136" s="44">
        <v>4.5</v>
      </c>
      <c r="D136" s="44">
        <v>4.2</v>
      </c>
      <c r="E136" s="44">
        <v>4.3</v>
      </c>
      <c r="F136" s="44">
        <v>4.4</v>
      </c>
      <c r="G136" s="11">
        <v>4.3</v>
      </c>
      <c r="H136" s="11">
        <v>4.3</v>
      </c>
      <c r="I136" s="11">
        <v>4.3</v>
      </c>
      <c r="J136" s="11">
        <v>4.7</v>
      </c>
      <c r="K136" s="11">
        <v>3.8</v>
      </c>
    </row>
    <row r="137" ht="14.25" customHeight="1">
      <c r="A137" s="11" t="s">
        <v>319</v>
      </c>
      <c r="B137" s="43" t="s">
        <v>320</v>
      </c>
      <c r="C137" s="44">
        <v>1.3</v>
      </c>
      <c r="D137" s="44">
        <v>1.8</v>
      </c>
      <c r="E137" s="44">
        <v>2.4</v>
      </c>
      <c r="F137" s="44">
        <v>3.2</v>
      </c>
      <c r="G137" s="11">
        <v>2.6</v>
      </c>
      <c r="H137" s="11">
        <v>2.6</v>
      </c>
      <c r="I137" s="11">
        <v>1.5</v>
      </c>
      <c r="J137" s="11">
        <v>1.5</v>
      </c>
      <c r="K137" s="11">
        <v>1.3</v>
      </c>
    </row>
    <row r="138" ht="14.25" customHeight="1">
      <c r="A138" s="11" t="s">
        <v>321</v>
      </c>
      <c r="B138" s="43" t="s">
        <v>322</v>
      </c>
      <c r="C138" s="44">
        <v>1.0</v>
      </c>
      <c r="D138" s="44">
        <v>1.2</v>
      </c>
      <c r="E138" s="44">
        <v>1.0</v>
      </c>
      <c r="F138" s="44">
        <v>1.2</v>
      </c>
      <c r="G138" s="11">
        <v>1.4</v>
      </c>
      <c r="H138" s="11">
        <v>1.5</v>
      </c>
      <c r="I138" s="11">
        <v>1.6</v>
      </c>
      <c r="J138" s="11">
        <v>1.5</v>
      </c>
      <c r="K138" s="11">
        <v>0.9</v>
      </c>
    </row>
    <row r="139" ht="14.25" customHeight="1">
      <c r="A139" s="11" t="s">
        <v>323</v>
      </c>
      <c r="B139" s="43" t="s">
        <v>324</v>
      </c>
      <c r="C139" s="44">
        <v>1.1</v>
      </c>
      <c r="D139" s="44">
        <v>1.3</v>
      </c>
      <c r="E139" s="44">
        <v>1.3</v>
      </c>
      <c r="F139" s="44">
        <v>2.2</v>
      </c>
      <c r="G139" s="11">
        <v>1.9</v>
      </c>
      <c r="H139" s="11">
        <v>1.9</v>
      </c>
      <c r="I139" s="11">
        <v>1.7</v>
      </c>
      <c r="J139" s="11">
        <v>1.6</v>
      </c>
      <c r="K139" s="11">
        <v>2.1</v>
      </c>
    </row>
    <row r="140" ht="14.25" customHeight="1">
      <c r="A140" s="11" t="s">
        <v>325</v>
      </c>
      <c r="B140" s="43" t="s">
        <v>326</v>
      </c>
      <c r="C140" s="44">
        <v>2.9</v>
      </c>
      <c r="D140" s="44">
        <v>2.9</v>
      </c>
      <c r="E140" s="44">
        <v>2.7</v>
      </c>
      <c r="F140" s="44">
        <v>2.5</v>
      </c>
      <c r="G140" s="11">
        <v>2.0</v>
      </c>
      <c r="H140" s="11">
        <v>2.0</v>
      </c>
      <c r="I140" s="11">
        <v>1.6</v>
      </c>
      <c r="J140" s="11">
        <v>1.6</v>
      </c>
      <c r="K140" s="11">
        <v>1.6</v>
      </c>
    </row>
    <row r="141" ht="14.25" customHeight="1">
      <c r="A141" s="11" t="s">
        <v>327</v>
      </c>
      <c r="B141" s="43" t="s">
        <v>328</v>
      </c>
      <c r="C141" s="44">
        <v>1.0</v>
      </c>
      <c r="D141" s="44">
        <v>0.7</v>
      </c>
      <c r="E141" s="44">
        <v>0.8</v>
      </c>
      <c r="F141" s="44">
        <v>1.3</v>
      </c>
      <c r="G141" s="11">
        <v>1.0</v>
      </c>
      <c r="H141" s="11">
        <v>1.9</v>
      </c>
      <c r="I141" s="11">
        <v>1.4</v>
      </c>
      <c r="J141" s="11">
        <v>2.3</v>
      </c>
      <c r="K141" s="11">
        <v>2.2</v>
      </c>
    </row>
    <row r="142" ht="14.25" customHeight="1">
      <c r="A142" s="11" t="s">
        <v>329</v>
      </c>
      <c r="B142" s="43" t="s">
        <v>330</v>
      </c>
      <c r="C142" s="44">
        <v>2.2</v>
      </c>
      <c r="D142" s="44">
        <v>2.8</v>
      </c>
      <c r="E142" s="44">
        <v>2.7</v>
      </c>
      <c r="F142" s="44">
        <v>3.3</v>
      </c>
      <c r="G142" s="11">
        <v>2.9</v>
      </c>
      <c r="H142" s="11">
        <v>2.6</v>
      </c>
      <c r="I142" s="11">
        <v>3.5</v>
      </c>
      <c r="J142" s="11">
        <v>3.3</v>
      </c>
      <c r="K142" s="11">
        <v>3.3</v>
      </c>
    </row>
    <row r="143" ht="14.25" customHeight="1">
      <c r="A143" s="11" t="s">
        <v>331</v>
      </c>
      <c r="B143" s="43" t="s">
        <v>332</v>
      </c>
      <c r="C143" s="44">
        <v>1.1</v>
      </c>
      <c r="D143" s="44">
        <v>0.9</v>
      </c>
      <c r="E143" s="44">
        <v>0.6</v>
      </c>
      <c r="F143" s="44">
        <v>0.6</v>
      </c>
      <c r="G143" s="11">
        <v>1.0</v>
      </c>
      <c r="H143" s="11">
        <v>1.0</v>
      </c>
      <c r="I143" s="11">
        <v>1.0</v>
      </c>
      <c r="J143" s="11">
        <v>0.6</v>
      </c>
      <c r="K143" s="11">
        <v>0.6</v>
      </c>
    </row>
    <row r="144" ht="14.25" customHeight="1">
      <c r="A144" s="11" t="s">
        <v>335</v>
      </c>
      <c r="B144" s="43" t="s">
        <v>336</v>
      </c>
      <c r="C144" s="44">
        <v>6.0</v>
      </c>
      <c r="D144" s="44">
        <v>4.9</v>
      </c>
      <c r="E144" s="44">
        <v>5.8</v>
      </c>
      <c r="F144" s="44">
        <v>6.2</v>
      </c>
      <c r="G144" s="11">
        <v>5.6</v>
      </c>
      <c r="H144" s="11">
        <v>5.5</v>
      </c>
      <c r="I144" s="11">
        <v>5.4</v>
      </c>
      <c r="J144" s="11">
        <v>6.0</v>
      </c>
      <c r="K144" s="11">
        <v>6.1</v>
      </c>
    </row>
    <row r="145" ht="14.25" customHeight="1">
      <c r="A145" s="11" t="s">
        <v>530</v>
      </c>
      <c r="B145" s="43" t="s">
        <v>98</v>
      </c>
      <c r="C145" s="44">
        <v>0.7</v>
      </c>
      <c r="D145" s="44">
        <v>1.1</v>
      </c>
      <c r="E145" s="44">
        <v>2.0</v>
      </c>
      <c r="F145" s="44">
        <v>3.2</v>
      </c>
      <c r="G145" s="11">
        <v>1.9</v>
      </c>
      <c r="H145" s="11">
        <v>2.0</v>
      </c>
      <c r="I145" s="11">
        <v>2.0</v>
      </c>
      <c r="J145" s="11">
        <v>1.5</v>
      </c>
      <c r="K145" s="11">
        <v>1.5</v>
      </c>
    </row>
    <row r="146" ht="14.25" customHeight="1">
      <c r="A146" s="11" t="s">
        <v>343</v>
      </c>
      <c r="B146" s="43" t="s">
        <v>344</v>
      </c>
      <c r="C146" s="44">
        <v>4.5</v>
      </c>
      <c r="D146" s="44">
        <v>2.8</v>
      </c>
      <c r="E146" s="44">
        <v>3.5</v>
      </c>
      <c r="F146" s="44">
        <v>4.7</v>
      </c>
      <c r="G146" s="11">
        <v>4.8</v>
      </c>
      <c r="H146" s="11">
        <v>4.8</v>
      </c>
      <c r="I146" s="11">
        <v>4.8</v>
      </c>
      <c r="J146" s="11">
        <v>5.3</v>
      </c>
      <c r="K146" s="11">
        <v>5.8</v>
      </c>
    </row>
    <row r="147" ht="14.25" customHeight="1">
      <c r="A147" s="11" t="s">
        <v>531</v>
      </c>
      <c r="B147" s="43" t="s">
        <v>346</v>
      </c>
      <c r="C147" s="44">
        <v>7.4</v>
      </c>
      <c r="D147" s="44">
        <v>6.7</v>
      </c>
      <c r="E147" s="44">
        <v>8.2</v>
      </c>
      <c r="F147" s="44">
        <v>8.1</v>
      </c>
      <c r="G147" s="11">
        <v>8.1</v>
      </c>
      <c r="H147" s="11">
        <v>8.1</v>
      </c>
      <c r="I147" s="11">
        <v>8.2</v>
      </c>
      <c r="J147" s="11">
        <v>8.2</v>
      </c>
      <c r="K147" s="11">
        <v>8.3</v>
      </c>
    </row>
    <row r="148" ht="14.25" customHeight="1">
      <c r="A148" s="11" t="s">
        <v>347</v>
      </c>
      <c r="B148" s="43" t="s">
        <v>348</v>
      </c>
      <c r="C148" s="44">
        <v>4.8</v>
      </c>
      <c r="D148" s="44">
        <v>3.5</v>
      </c>
      <c r="E148" s="44">
        <v>4.7</v>
      </c>
      <c r="F148" s="44">
        <v>4.3</v>
      </c>
      <c r="G148" s="11">
        <v>3.7</v>
      </c>
      <c r="H148" s="11">
        <v>3.6</v>
      </c>
      <c r="I148" s="11">
        <v>3.8</v>
      </c>
      <c r="J148" s="11">
        <v>3.7</v>
      </c>
      <c r="K148" s="11">
        <v>3.2</v>
      </c>
    </row>
    <row r="149" ht="14.25" customHeight="1">
      <c r="A149" s="11" t="s">
        <v>363</v>
      </c>
      <c r="B149" s="43" t="s">
        <v>364</v>
      </c>
      <c r="C149" s="44">
        <v>0.8</v>
      </c>
      <c r="D149" s="44">
        <v>0.8</v>
      </c>
      <c r="E149" s="44">
        <v>0.8</v>
      </c>
      <c r="F149" s="44">
        <v>1.1</v>
      </c>
      <c r="G149" s="11">
        <v>1.3</v>
      </c>
      <c r="H149" s="11">
        <v>1.4</v>
      </c>
      <c r="I149" s="11">
        <v>1.4</v>
      </c>
      <c r="J149" s="11">
        <v>1.1</v>
      </c>
      <c r="K149" s="11">
        <v>1.0</v>
      </c>
    </row>
    <row r="150" ht="14.25" customHeight="1">
      <c r="A150" s="11" t="s">
        <v>365</v>
      </c>
      <c r="B150" s="43" t="s">
        <v>366</v>
      </c>
      <c r="C150" s="44">
        <v>0.3</v>
      </c>
      <c r="D150" s="44">
        <v>0.3</v>
      </c>
      <c r="E150" s="44">
        <v>0.6</v>
      </c>
      <c r="F150" s="44">
        <v>0.7</v>
      </c>
      <c r="G150" s="11">
        <v>0.6</v>
      </c>
      <c r="H150" s="11">
        <v>0.6</v>
      </c>
      <c r="I150" s="11">
        <v>0.6</v>
      </c>
      <c r="J150" s="11">
        <v>0.6</v>
      </c>
      <c r="K150" s="11">
        <v>0.6</v>
      </c>
    </row>
    <row r="151" ht="14.25" customHeight="1">
      <c r="A151" s="11" t="s">
        <v>367</v>
      </c>
      <c r="B151" s="43" t="s">
        <v>368</v>
      </c>
      <c r="C151" s="44">
        <v>0.3</v>
      </c>
      <c r="D151" s="44">
        <v>0.2</v>
      </c>
      <c r="E151" s="44">
        <v>0.5</v>
      </c>
      <c r="F151" s="44">
        <v>0.5</v>
      </c>
      <c r="G151" s="11">
        <v>0.5</v>
      </c>
      <c r="H151" s="11">
        <v>0.7</v>
      </c>
      <c r="I151" s="11">
        <v>0.9</v>
      </c>
      <c r="J151" s="11">
        <v>0.9</v>
      </c>
      <c r="K151" s="11">
        <v>0.9</v>
      </c>
    </row>
    <row r="152" ht="14.25" customHeight="1">
      <c r="A152" s="11" t="s">
        <v>369</v>
      </c>
      <c r="B152" s="43" t="s">
        <v>370</v>
      </c>
      <c r="C152" s="44">
        <v>7.8</v>
      </c>
      <c r="D152" s="44">
        <v>7.6</v>
      </c>
      <c r="E152" s="44">
        <v>7.7</v>
      </c>
      <c r="F152" s="44">
        <v>7.7</v>
      </c>
      <c r="G152" s="11">
        <v>7.8</v>
      </c>
      <c r="H152" s="11">
        <v>7.5</v>
      </c>
      <c r="I152" s="11">
        <v>7.2</v>
      </c>
      <c r="J152" s="11">
        <v>6.6</v>
      </c>
      <c r="K152" s="11">
        <v>6.6</v>
      </c>
    </row>
    <row r="153" ht="14.25" customHeight="1">
      <c r="A153" s="11" t="s">
        <v>371</v>
      </c>
      <c r="B153" s="43" t="s">
        <v>372</v>
      </c>
      <c r="C153" s="44">
        <v>1.2</v>
      </c>
      <c r="D153" s="44">
        <v>1.1</v>
      </c>
      <c r="E153" s="44">
        <v>0.8</v>
      </c>
      <c r="F153" s="44">
        <v>1.1</v>
      </c>
      <c r="G153" s="11">
        <v>1.2</v>
      </c>
      <c r="H153" s="11">
        <v>0.7</v>
      </c>
      <c r="I153" s="11">
        <v>0.7</v>
      </c>
      <c r="J153" s="11">
        <v>0.9</v>
      </c>
      <c r="K153" s="11">
        <v>0.7</v>
      </c>
    </row>
    <row r="154" ht="14.25" customHeight="1">
      <c r="A154" s="11" t="s">
        <v>373</v>
      </c>
      <c r="B154" s="43" t="s">
        <v>374</v>
      </c>
      <c r="C154" s="44">
        <v>3.4</v>
      </c>
      <c r="D154" s="44">
        <v>3.8</v>
      </c>
      <c r="E154" s="44">
        <v>3.0</v>
      </c>
      <c r="F154" s="44">
        <v>3.1</v>
      </c>
      <c r="G154" s="11">
        <v>4.2</v>
      </c>
      <c r="H154" s="11">
        <v>3.6</v>
      </c>
      <c r="I154" s="11">
        <v>3.4</v>
      </c>
      <c r="J154" s="11">
        <v>3.1</v>
      </c>
      <c r="K154" s="11">
        <v>3.3</v>
      </c>
    </row>
    <row r="155" ht="14.25" customHeight="1">
      <c r="A155" s="11" t="s">
        <v>375</v>
      </c>
      <c r="B155" s="43" t="s">
        <v>376</v>
      </c>
      <c r="C155" s="44">
        <v>2.3</v>
      </c>
      <c r="D155" s="44">
        <v>1.5</v>
      </c>
      <c r="E155" s="44">
        <v>2.3</v>
      </c>
      <c r="F155" s="44">
        <v>2.5</v>
      </c>
      <c r="G155" s="11">
        <v>2.6</v>
      </c>
      <c r="H155" s="11">
        <v>2.6</v>
      </c>
      <c r="I155" s="11">
        <v>2.6</v>
      </c>
      <c r="J155" s="11">
        <v>2.6</v>
      </c>
      <c r="K155" s="11">
        <v>2.7</v>
      </c>
    </row>
    <row r="156" ht="14.25" customHeight="1">
      <c r="A156" s="11" t="s">
        <v>377</v>
      </c>
      <c r="B156" s="43" t="s">
        <v>378</v>
      </c>
      <c r="C156" s="44">
        <v>1.4</v>
      </c>
      <c r="D156" s="44">
        <v>0.8</v>
      </c>
      <c r="E156" s="44">
        <v>2.1</v>
      </c>
      <c r="F156" s="44">
        <v>2.6</v>
      </c>
      <c r="G156" s="11">
        <v>3.4</v>
      </c>
      <c r="H156" s="11">
        <v>2.6</v>
      </c>
      <c r="I156" s="11">
        <v>3.1</v>
      </c>
      <c r="J156" s="11">
        <v>2.3</v>
      </c>
      <c r="K156" s="11">
        <v>2.1</v>
      </c>
    </row>
    <row r="157" ht="14.25" customHeight="1">
      <c r="A157" s="11" t="s">
        <v>379</v>
      </c>
      <c r="B157" s="43" t="s">
        <v>380</v>
      </c>
      <c r="C157" s="44">
        <v>6.6</v>
      </c>
      <c r="D157" s="44">
        <v>6.4</v>
      </c>
      <c r="E157" s="44">
        <v>6.6</v>
      </c>
      <c r="F157" s="44">
        <v>7.1</v>
      </c>
      <c r="G157" s="11">
        <v>7.1</v>
      </c>
      <c r="H157" s="11">
        <v>7.1</v>
      </c>
      <c r="I157" s="11">
        <v>6.9</v>
      </c>
      <c r="J157" s="11">
        <v>6.9</v>
      </c>
      <c r="K157" s="11">
        <v>6.9</v>
      </c>
    </row>
    <row r="158" ht="14.25" customHeight="1">
      <c r="A158" s="11" t="s">
        <v>383</v>
      </c>
      <c r="B158" s="43" t="s">
        <v>384</v>
      </c>
      <c r="C158" s="44">
        <v>3.0</v>
      </c>
      <c r="D158" s="44">
        <v>3.4</v>
      </c>
      <c r="E158" s="44">
        <v>2.5</v>
      </c>
      <c r="F158" s="44">
        <v>2.5</v>
      </c>
      <c r="G158" s="11">
        <v>3.0</v>
      </c>
      <c r="H158" s="11">
        <v>3.0</v>
      </c>
      <c r="I158" s="11">
        <v>3.0</v>
      </c>
      <c r="J158" s="11">
        <v>2.8</v>
      </c>
      <c r="K158" s="11">
        <v>3.0</v>
      </c>
    </row>
    <row r="159" ht="14.25" customHeight="1">
      <c r="A159" s="11" t="s">
        <v>385</v>
      </c>
      <c r="B159" s="43" t="s">
        <v>386</v>
      </c>
      <c r="C159" s="44">
        <v>0.7</v>
      </c>
      <c r="D159" s="44">
        <v>1.0</v>
      </c>
      <c r="E159" s="44">
        <v>1.4</v>
      </c>
      <c r="F159" s="44">
        <v>1.7</v>
      </c>
      <c r="G159" s="11">
        <v>2.6</v>
      </c>
      <c r="H159" s="11">
        <v>1.8</v>
      </c>
      <c r="I159" s="11">
        <v>1.8</v>
      </c>
      <c r="J159" s="11">
        <v>1.8</v>
      </c>
      <c r="K159" s="11">
        <v>2.5</v>
      </c>
    </row>
    <row r="160" ht="14.25" customHeight="1">
      <c r="A160" s="11" t="s">
        <v>387</v>
      </c>
      <c r="B160" s="43" t="s">
        <v>388</v>
      </c>
      <c r="C160" s="44">
        <v>1.0</v>
      </c>
      <c r="D160" s="44">
        <v>1.0</v>
      </c>
      <c r="E160" s="44">
        <v>1.0</v>
      </c>
      <c r="F160" s="44">
        <v>1.0</v>
      </c>
      <c r="G160" s="11">
        <v>1.0</v>
      </c>
      <c r="H160" s="11">
        <v>1.0</v>
      </c>
      <c r="I160" s="11">
        <v>1.0</v>
      </c>
      <c r="J160" s="11">
        <v>1.1</v>
      </c>
      <c r="K160" s="11">
        <v>1.1</v>
      </c>
    </row>
    <row r="161" ht="14.25" customHeight="1">
      <c r="A161" s="11" t="s">
        <v>389</v>
      </c>
      <c r="B161" s="43" t="s">
        <v>390</v>
      </c>
      <c r="C161" s="44">
        <v>4.0</v>
      </c>
      <c r="D161" s="44">
        <v>2.9</v>
      </c>
      <c r="E161" s="44">
        <v>4.6</v>
      </c>
      <c r="F161" s="44">
        <v>4.5</v>
      </c>
      <c r="G161" s="11">
        <v>4.4</v>
      </c>
      <c r="H161" s="11">
        <v>4.2</v>
      </c>
      <c r="I161" s="11">
        <v>3.3</v>
      </c>
      <c r="J161" s="11">
        <v>4.7</v>
      </c>
      <c r="K161" s="11">
        <v>4.7</v>
      </c>
    </row>
    <row r="162" ht="14.25" customHeight="1">
      <c r="A162" s="11" t="s">
        <v>391</v>
      </c>
      <c r="B162" s="43" t="s">
        <v>392</v>
      </c>
      <c r="C162" s="44">
        <v>0.7</v>
      </c>
      <c r="D162" s="44">
        <v>0.8</v>
      </c>
      <c r="E162" s="44">
        <v>1.0</v>
      </c>
      <c r="F162" s="44">
        <v>0.8</v>
      </c>
      <c r="G162" s="11">
        <v>0.9</v>
      </c>
      <c r="H162" s="11">
        <v>1.4</v>
      </c>
      <c r="I162" s="11">
        <v>1.6</v>
      </c>
      <c r="J162" s="11">
        <v>2.1</v>
      </c>
      <c r="K162" s="11">
        <v>1.3</v>
      </c>
    </row>
    <row r="163" ht="14.25" customHeight="1">
      <c r="A163" s="11" t="s">
        <v>532</v>
      </c>
      <c r="B163" s="43" t="s">
        <v>338</v>
      </c>
      <c r="C163" s="44">
        <v>2.0</v>
      </c>
      <c r="D163" s="44">
        <v>2.0</v>
      </c>
      <c r="E163" s="44">
        <v>2.4</v>
      </c>
      <c r="F163" s="44">
        <v>2.4</v>
      </c>
      <c r="G163" s="11">
        <v>2.4</v>
      </c>
      <c r="H163" s="11">
        <v>2.5</v>
      </c>
      <c r="I163" s="11">
        <v>2.6</v>
      </c>
      <c r="J163" s="11">
        <v>2.4</v>
      </c>
      <c r="K163" s="11">
        <v>2.2</v>
      </c>
    </row>
    <row r="164" ht="14.25" customHeight="1">
      <c r="A164" s="11" t="s">
        <v>533</v>
      </c>
      <c r="B164" s="43" t="s">
        <v>394</v>
      </c>
      <c r="C164" s="44">
        <v>3.4</v>
      </c>
      <c r="D164" s="44">
        <v>2.4</v>
      </c>
      <c r="E164" s="44">
        <v>1.8</v>
      </c>
      <c r="F164" s="44">
        <v>1.3</v>
      </c>
      <c r="G164" s="11">
        <v>3.0</v>
      </c>
      <c r="H164" s="11">
        <v>3.3</v>
      </c>
      <c r="I164" s="11">
        <v>2.4</v>
      </c>
      <c r="J164" s="11">
        <v>3.2</v>
      </c>
      <c r="K164" s="11">
        <v>3.9</v>
      </c>
    </row>
    <row r="165" ht="14.25" customHeight="1">
      <c r="A165" s="11" t="s">
        <v>395</v>
      </c>
      <c r="B165" s="43" t="s">
        <v>396</v>
      </c>
      <c r="C165" s="44">
        <v>3.0</v>
      </c>
      <c r="D165" s="44">
        <v>3.0</v>
      </c>
      <c r="E165" s="44">
        <v>2.7</v>
      </c>
      <c r="F165" s="44">
        <v>3.0</v>
      </c>
      <c r="G165" s="11">
        <v>4.5</v>
      </c>
      <c r="H165" s="11">
        <v>4.0</v>
      </c>
      <c r="I165" s="11">
        <v>4.3</v>
      </c>
      <c r="J165" s="11">
        <v>3.8</v>
      </c>
      <c r="K165" s="11">
        <v>3.9</v>
      </c>
    </row>
    <row r="166" ht="14.25" customHeight="1">
      <c r="A166" s="11" t="s">
        <v>397</v>
      </c>
      <c r="B166" s="43" t="s">
        <v>398</v>
      </c>
      <c r="C166" s="44">
        <v>5.3</v>
      </c>
      <c r="D166" s="44">
        <v>5.0</v>
      </c>
      <c r="E166" s="44">
        <v>4.2</v>
      </c>
      <c r="F166" s="44">
        <v>4.1</v>
      </c>
      <c r="G166" s="11">
        <v>3.8</v>
      </c>
      <c r="H166" s="11">
        <v>4.2</v>
      </c>
      <c r="I166" s="11">
        <v>6.0</v>
      </c>
      <c r="J166" s="11">
        <v>5.4</v>
      </c>
      <c r="K166" s="11">
        <v>6.1</v>
      </c>
    </row>
    <row r="167" ht="14.25" customHeight="1">
      <c r="A167" s="11" t="s">
        <v>534</v>
      </c>
      <c r="B167" s="43" t="s">
        <v>354</v>
      </c>
      <c r="C167" s="44">
        <v>2.0</v>
      </c>
      <c r="D167" s="44">
        <v>2.0</v>
      </c>
      <c r="E167" s="44">
        <v>2.1</v>
      </c>
      <c r="F167" s="44">
        <v>2.2</v>
      </c>
      <c r="G167" s="11">
        <v>2.2</v>
      </c>
      <c r="H167" s="11">
        <v>1.5</v>
      </c>
      <c r="I167" s="11">
        <v>1.6</v>
      </c>
      <c r="J167" s="11">
        <v>1.0</v>
      </c>
      <c r="K167" s="11">
        <v>1.0</v>
      </c>
    </row>
    <row r="168" ht="14.25" customHeight="1">
      <c r="A168" s="11" t="s">
        <v>535</v>
      </c>
      <c r="B168" s="43" t="s">
        <v>356</v>
      </c>
      <c r="C168" s="44">
        <v>1.8</v>
      </c>
      <c r="D168" s="44">
        <v>1.8</v>
      </c>
      <c r="E168" s="44">
        <v>1.5</v>
      </c>
      <c r="F168" s="44">
        <v>1.8</v>
      </c>
      <c r="G168" s="11">
        <v>1.9</v>
      </c>
      <c r="H168" s="11">
        <v>1.9</v>
      </c>
      <c r="I168" s="11">
        <v>1.9</v>
      </c>
      <c r="J168" s="11">
        <v>2.4</v>
      </c>
      <c r="K168" s="11">
        <v>2.3</v>
      </c>
    </row>
    <row r="169" ht="14.25" customHeight="1">
      <c r="A169" s="11" t="s">
        <v>536</v>
      </c>
      <c r="B169" s="43" t="s">
        <v>362</v>
      </c>
      <c r="C169" s="44">
        <v>1.6</v>
      </c>
      <c r="D169" s="44">
        <v>1.6</v>
      </c>
      <c r="E169" s="44">
        <v>1.1</v>
      </c>
      <c r="F169" s="44">
        <v>1.4</v>
      </c>
      <c r="G169" s="11">
        <v>1.4</v>
      </c>
      <c r="H169" s="11">
        <v>1.6</v>
      </c>
      <c r="I169" s="11">
        <v>1.4</v>
      </c>
      <c r="J169" s="11">
        <v>0.9</v>
      </c>
      <c r="K169" s="11">
        <v>1.0</v>
      </c>
    </row>
    <row r="170" ht="14.25" customHeight="1">
      <c r="A170" s="11" t="s">
        <v>401</v>
      </c>
      <c r="B170" s="43" t="s">
        <v>402</v>
      </c>
      <c r="C170" s="44">
        <v>7.0</v>
      </c>
      <c r="D170" s="44">
        <v>6.4</v>
      </c>
      <c r="E170" s="44">
        <v>6.1</v>
      </c>
      <c r="F170" s="44">
        <v>5.9</v>
      </c>
      <c r="G170" s="11">
        <v>6.7</v>
      </c>
      <c r="H170" s="11">
        <v>6.2</v>
      </c>
      <c r="I170" s="11">
        <v>6.8</v>
      </c>
      <c r="J170" s="11">
        <v>5.8</v>
      </c>
      <c r="K170" s="11">
        <v>3.2</v>
      </c>
    </row>
    <row r="171" ht="14.25" customHeight="1">
      <c r="A171" s="11" t="s">
        <v>403</v>
      </c>
      <c r="B171" s="43" t="s">
        <v>404</v>
      </c>
      <c r="C171" s="44">
        <v>0.2</v>
      </c>
      <c r="D171" s="44">
        <v>0.2</v>
      </c>
      <c r="E171" s="44">
        <v>0.4</v>
      </c>
      <c r="F171" s="44">
        <v>0.9</v>
      </c>
      <c r="G171" s="11">
        <v>0.9</v>
      </c>
      <c r="H171" s="11">
        <v>0.9</v>
      </c>
      <c r="I171" s="11">
        <v>0.9</v>
      </c>
      <c r="J171" s="11">
        <v>0.9</v>
      </c>
      <c r="K171" s="11">
        <v>1.1</v>
      </c>
    </row>
    <row r="172" ht="14.25" customHeight="1">
      <c r="A172" s="11" t="s">
        <v>405</v>
      </c>
      <c r="B172" s="43" t="s">
        <v>406</v>
      </c>
      <c r="C172" s="44">
        <v>3.6</v>
      </c>
      <c r="D172" s="44">
        <v>2.4</v>
      </c>
      <c r="E172" s="44">
        <v>1.9</v>
      </c>
      <c r="F172" s="44">
        <v>2.8</v>
      </c>
      <c r="G172" s="11">
        <v>2.3</v>
      </c>
      <c r="H172" s="11">
        <v>2.8</v>
      </c>
      <c r="I172" s="11">
        <v>2.6</v>
      </c>
      <c r="J172" s="11">
        <v>3.1</v>
      </c>
      <c r="K172" s="11">
        <v>2.3</v>
      </c>
    </row>
    <row r="173" ht="14.25" customHeight="1">
      <c r="A173" s="11" t="s">
        <v>407</v>
      </c>
      <c r="B173" s="43" t="s">
        <v>408</v>
      </c>
      <c r="C173" s="44">
        <v>2.6</v>
      </c>
      <c r="D173" s="44">
        <v>2.4</v>
      </c>
      <c r="E173" s="44">
        <v>2.9</v>
      </c>
      <c r="F173" s="44">
        <v>2.7</v>
      </c>
      <c r="G173" s="11">
        <v>2.5</v>
      </c>
      <c r="H173" s="11">
        <v>2.6</v>
      </c>
      <c r="I173" s="11">
        <v>2.6</v>
      </c>
      <c r="J173" s="11">
        <v>2.4</v>
      </c>
      <c r="K173" s="11">
        <v>2.6</v>
      </c>
    </row>
    <row r="174" ht="14.25" customHeight="1">
      <c r="A174" s="11" t="s">
        <v>537</v>
      </c>
      <c r="B174" s="43" t="s">
        <v>410</v>
      </c>
      <c r="C174" s="44">
        <v>7.4</v>
      </c>
      <c r="D174" s="44">
        <v>7.6</v>
      </c>
      <c r="E174" s="44">
        <v>7.6</v>
      </c>
      <c r="F174" s="44">
        <v>7.8</v>
      </c>
      <c r="G174" s="11">
        <v>8.3</v>
      </c>
      <c r="H174" s="11">
        <v>8.2</v>
      </c>
      <c r="I174" s="11">
        <v>8.3</v>
      </c>
      <c r="J174" s="11">
        <v>7.5</v>
      </c>
      <c r="K174" s="11">
        <v>8.0</v>
      </c>
    </row>
    <row r="175" ht="14.25" customHeight="1">
      <c r="A175" s="11" t="s">
        <v>538</v>
      </c>
      <c r="B175" s="43" t="s">
        <v>473</v>
      </c>
      <c r="C175" s="44">
        <v>0.9</v>
      </c>
      <c r="D175" s="44">
        <v>0.7</v>
      </c>
      <c r="E175" s="44">
        <v>1.2</v>
      </c>
      <c r="F175" s="44">
        <v>2.2</v>
      </c>
      <c r="G175" s="11">
        <v>1.7</v>
      </c>
      <c r="H175" s="11">
        <v>1.7</v>
      </c>
      <c r="I175" s="11">
        <v>1.7</v>
      </c>
      <c r="J175" s="11">
        <v>1.5</v>
      </c>
      <c r="K175" s="11">
        <v>1.0</v>
      </c>
    </row>
    <row r="176" ht="14.25" customHeight="1">
      <c r="A176" s="11" t="s">
        <v>411</v>
      </c>
      <c r="B176" s="43" t="s">
        <v>412</v>
      </c>
      <c r="C176" s="44">
        <v>6.8</v>
      </c>
      <c r="D176" s="44">
        <v>6.6</v>
      </c>
      <c r="E176" s="44">
        <v>7.1</v>
      </c>
      <c r="F176" s="44">
        <v>7.5</v>
      </c>
      <c r="G176" s="11">
        <v>7.5</v>
      </c>
      <c r="H176" s="11">
        <v>7.9</v>
      </c>
      <c r="I176" s="11">
        <v>6.9</v>
      </c>
      <c r="J176" s="11">
        <v>7.5</v>
      </c>
      <c r="K176" s="11">
        <v>7.8</v>
      </c>
    </row>
    <row r="177" ht="14.25" customHeight="1">
      <c r="A177" s="11" t="s">
        <v>539</v>
      </c>
      <c r="B177" s="43" t="s">
        <v>444</v>
      </c>
      <c r="C177" s="44">
        <v>3.3</v>
      </c>
      <c r="D177" s="44">
        <v>3.1</v>
      </c>
      <c r="E177" s="44">
        <v>3.4</v>
      </c>
      <c r="F177" s="44">
        <v>4.6</v>
      </c>
      <c r="G177" s="11">
        <v>4.7</v>
      </c>
      <c r="H177" s="11">
        <v>5.1</v>
      </c>
      <c r="I177" s="11">
        <v>5.5</v>
      </c>
      <c r="J177" s="11">
        <v>5.1</v>
      </c>
      <c r="K177" s="11">
        <v>5.2</v>
      </c>
    </row>
    <row r="178" ht="14.25" customHeight="1">
      <c r="A178" s="11" t="s">
        <v>413</v>
      </c>
      <c r="B178" s="43" t="s">
        <v>414</v>
      </c>
      <c r="C178" s="44">
        <v>4.4</v>
      </c>
      <c r="D178" s="44">
        <v>4.4</v>
      </c>
      <c r="E178" s="44">
        <v>4.4</v>
      </c>
      <c r="F178" s="44">
        <v>5.3</v>
      </c>
      <c r="G178" s="11">
        <v>4.6</v>
      </c>
      <c r="H178" s="11">
        <v>5.4</v>
      </c>
      <c r="I178" s="11">
        <v>5.3</v>
      </c>
      <c r="J178" s="11">
        <v>5.1</v>
      </c>
      <c r="K178" s="11">
        <v>5.1</v>
      </c>
    </row>
    <row r="179" ht="14.25" customHeight="1">
      <c r="A179" s="11" t="s">
        <v>415</v>
      </c>
      <c r="B179" s="43" t="s">
        <v>416</v>
      </c>
      <c r="C179" s="44">
        <v>1.4</v>
      </c>
      <c r="D179" s="44">
        <v>1.5</v>
      </c>
      <c r="E179" s="44">
        <v>1.6</v>
      </c>
      <c r="F179" s="44">
        <v>1.6</v>
      </c>
      <c r="G179" s="11">
        <v>1.0</v>
      </c>
      <c r="H179" s="11">
        <v>1.1</v>
      </c>
      <c r="I179" s="11">
        <v>1.0</v>
      </c>
      <c r="J179" s="11">
        <v>1.1</v>
      </c>
      <c r="K179" s="11">
        <v>0.9</v>
      </c>
    </row>
    <row r="180" ht="14.25" customHeight="1">
      <c r="A180" s="11" t="s">
        <v>417</v>
      </c>
      <c r="B180" s="43" t="s">
        <v>418</v>
      </c>
      <c r="C180" s="44">
        <v>1.5</v>
      </c>
      <c r="D180" s="44">
        <v>1.9</v>
      </c>
      <c r="E180" s="44">
        <v>2.0</v>
      </c>
      <c r="F180" s="44">
        <v>2.0</v>
      </c>
      <c r="G180" s="11">
        <v>2.1</v>
      </c>
      <c r="H180" s="11">
        <v>2.0</v>
      </c>
      <c r="I180" s="11">
        <v>2.6</v>
      </c>
      <c r="J180" s="11">
        <v>2.5</v>
      </c>
      <c r="K180" s="11">
        <v>2.7</v>
      </c>
    </row>
    <row r="181" ht="14.25" customHeight="1">
      <c r="A181" s="11" t="s">
        <v>421</v>
      </c>
      <c r="B181" s="43" t="s">
        <v>422</v>
      </c>
      <c r="C181" s="44">
        <v>1.8</v>
      </c>
      <c r="D181" s="44">
        <v>1.8</v>
      </c>
      <c r="E181" s="44">
        <v>1.5</v>
      </c>
      <c r="F181" s="44">
        <v>1.6</v>
      </c>
      <c r="G181" s="11">
        <v>1.6</v>
      </c>
      <c r="H181" s="11">
        <v>1.6</v>
      </c>
      <c r="I181" s="11">
        <v>1.6</v>
      </c>
      <c r="J181" s="11">
        <v>1.6</v>
      </c>
      <c r="K181" s="11">
        <v>2.0</v>
      </c>
    </row>
    <row r="182" ht="14.25" customHeight="1">
      <c r="A182" s="11" t="s">
        <v>423</v>
      </c>
      <c r="B182" s="43" t="s">
        <v>424</v>
      </c>
      <c r="C182" s="44">
        <v>1.1</v>
      </c>
      <c r="D182" s="44">
        <v>1.1</v>
      </c>
      <c r="E182" s="44">
        <v>1.0</v>
      </c>
      <c r="F182" s="44">
        <v>0.8</v>
      </c>
      <c r="G182" s="11">
        <v>0.8</v>
      </c>
      <c r="H182" s="11">
        <v>0.9</v>
      </c>
      <c r="I182" s="11">
        <v>1.0</v>
      </c>
      <c r="J182" s="11">
        <v>1.0</v>
      </c>
      <c r="K182" s="11">
        <v>1.2</v>
      </c>
    </row>
    <row r="183" ht="14.25" customHeight="1">
      <c r="A183" s="11" t="s">
        <v>425</v>
      </c>
      <c r="B183" s="43" t="s">
        <v>426</v>
      </c>
      <c r="C183" s="44">
        <v>4.9</v>
      </c>
      <c r="D183" s="44">
        <v>4.7</v>
      </c>
      <c r="E183" s="44">
        <v>4.1</v>
      </c>
      <c r="F183" s="44">
        <v>5.7</v>
      </c>
      <c r="G183" s="11">
        <v>5.1</v>
      </c>
      <c r="H183" s="11">
        <v>6.3</v>
      </c>
      <c r="I183" s="11">
        <v>5.6</v>
      </c>
      <c r="J183" s="11">
        <v>6.2</v>
      </c>
      <c r="K183" s="11">
        <v>5.8</v>
      </c>
    </row>
    <row r="184" ht="14.25" customHeight="1">
      <c r="A184" s="11" t="s">
        <v>540</v>
      </c>
      <c r="B184" s="43" t="s">
        <v>428</v>
      </c>
      <c r="C184" s="44">
        <v>7.4</v>
      </c>
      <c r="D184" s="44">
        <v>8.1</v>
      </c>
      <c r="E184" s="44">
        <v>6.8</v>
      </c>
      <c r="F184" s="44">
        <v>7.0</v>
      </c>
      <c r="G184" s="11">
        <v>7.1</v>
      </c>
      <c r="H184" s="11">
        <v>6.9</v>
      </c>
      <c r="I184" s="11">
        <v>7.0</v>
      </c>
      <c r="J184" s="11">
        <v>6.2</v>
      </c>
      <c r="K184" s="11">
        <v>6.2</v>
      </c>
    </row>
    <row r="185" ht="14.25" customHeight="1">
      <c r="A185" s="11" t="s">
        <v>429</v>
      </c>
      <c r="B185" s="43" t="s">
        <v>430</v>
      </c>
      <c r="C185" s="44">
        <v>6.4</v>
      </c>
      <c r="D185" s="44">
        <v>7.1</v>
      </c>
      <c r="E185" s="44">
        <v>6.9</v>
      </c>
      <c r="F185" s="44">
        <v>7.9</v>
      </c>
      <c r="G185" s="11">
        <v>7.9</v>
      </c>
      <c r="H185" s="11">
        <v>7.9</v>
      </c>
      <c r="I185" s="11">
        <v>7.6</v>
      </c>
      <c r="J185" s="11">
        <v>6.1</v>
      </c>
      <c r="K185" s="11">
        <v>7.1</v>
      </c>
    </row>
    <row r="186" ht="14.25" customHeight="1">
      <c r="A186" s="11" t="s">
        <v>433</v>
      </c>
      <c r="B186" s="43" t="s">
        <v>434</v>
      </c>
      <c r="C186" s="44">
        <v>3.3</v>
      </c>
      <c r="D186" s="44">
        <v>3.1</v>
      </c>
      <c r="E186" s="44">
        <v>3.3</v>
      </c>
      <c r="F186" s="44">
        <v>3.0</v>
      </c>
      <c r="G186" s="11">
        <v>2.0</v>
      </c>
      <c r="H186" s="11">
        <v>2.0</v>
      </c>
      <c r="I186" s="11">
        <v>2.0</v>
      </c>
      <c r="J186" s="11">
        <v>2.0</v>
      </c>
      <c r="K186" s="11">
        <v>2.2</v>
      </c>
    </row>
    <row r="187" ht="14.25" customHeight="1">
      <c r="A187" s="11" t="s">
        <v>435</v>
      </c>
      <c r="B187" s="43" t="s">
        <v>436</v>
      </c>
      <c r="C187" s="44">
        <v>3.7</v>
      </c>
      <c r="D187" s="44">
        <v>4.8</v>
      </c>
      <c r="E187" s="44">
        <v>2.9</v>
      </c>
      <c r="F187" s="44">
        <v>4.1</v>
      </c>
      <c r="G187" s="11">
        <v>2.4</v>
      </c>
      <c r="H187" s="11">
        <v>3.0</v>
      </c>
      <c r="I187" s="11">
        <v>3.0</v>
      </c>
      <c r="J187" s="11">
        <v>2.5</v>
      </c>
      <c r="K187" s="11">
        <v>2.5</v>
      </c>
    </row>
    <row r="188" ht="14.25" customHeight="1">
      <c r="A188" s="11" t="s">
        <v>437</v>
      </c>
      <c r="B188" s="43" t="s">
        <v>438</v>
      </c>
      <c r="C188" s="44">
        <v>4.1</v>
      </c>
      <c r="D188" s="44">
        <v>4.0</v>
      </c>
      <c r="E188" s="44">
        <v>4.4</v>
      </c>
      <c r="F188" s="44">
        <v>4.2</v>
      </c>
      <c r="G188" s="11">
        <v>3.8</v>
      </c>
      <c r="H188" s="11">
        <v>4.8</v>
      </c>
      <c r="I188" s="11">
        <v>4.7</v>
      </c>
      <c r="J188" s="11">
        <v>4.2</v>
      </c>
      <c r="K188" s="11">
        <v>4.1</v>
      </c>
    </row>
    <row r="189" ht="14.25" customHeight="1">
      <c r="A189" s="11" t="s">
        <v>439</v>
      </c>
      <c r="B189" s="43" t="s">
        <v>440</v>
      </c>
      <c r="C189" s="44">
        <v>4.6</v>
      </c>
      <c r="D189" s="44">
        <v>4.2</v>
      </c>
      <c r="E189" s="44">
        <v>6.0</v>
      </c>
      <c r="F189" s="44">
        <v>5.9</v>
      </c>
      <c r="G189" s="11">
        <v>5.8</v>
      </c>
      <c r="H189" s="11">
        <v>5.8</v>
      </c>
      <c r="I189" s="11">
        <v>5.8</v>
      </c>
      <c r="J189" s="11">
        <v>5.7</v>
      </c>
      <c r="K189" s="11">
        <v>6.0</v>
      </c>
    </row>
    <row r="190" ht="14.25" customHeight="1">
      <c r="A190" s="11" t="s">
        <v>441</v>
      </c>
      <c r="B190" s="43" t="s">
        <v>442</v>
      </c>
      <c r="C190" s="44">
        <v>1.7</v>
      </c>
      <c r="D190" s="44">
        <v>1.6</v>
      </c>
      <c r="E190" s="44">
        <v>2.2</v>
      </c>
      <c r="F190" s="44">
        <v>2.3</v>
      </c>
      <c r="G190" s="11">
        <v>2.6</v>
      </c>
      <c r="H190" s="11">
        <v>2.8</v>
      </c>
      <c r="I190" s="11">
        <v>3.2</v>
      </c>
      <c r="J190" s="11">
        <v>2.8</v>
      </c>
      <c r="K190" s="11">
        <v>3.4</v>
      </c>
    </row>
    <row r="191" ht="14.25" customHeight="1">
      <c r="A191" s="11" t="s">
        <v>541</v>
      </c>
      <c r="B191" s="43" t="s">
        <v>448</v>
      </c>
      <c r="C191" s="44">
        <v>3.0</v>
      </c>
      <c r="D191" s="44">
        <v>2.7</v>
      </c>
      <c r="E191" s="44">
        <v>3.7</v>
      </c>
      <c r="F191" s="44">
        <v>3.2</v>
      </c>
      <c r="G191" s="11">
        <v>3.3</v>
      </c>
      <c r="H191" s="11">
        <v>3.2</v>
      </c>
      <c r="I191" s="11">
        <v>3.2</v>
      </c>
      <c r="J191" s="11">
        <v>2.7</v>
      </c>
      <c r="K191" s="11">
        <v>2.4</v>
      </c>
    </row>
    <row r="192" ht="14.25" customHeight="1">
      <c r="A192" s="11" t="s">
        <v>449</v>
      </c>
      <c r="B192" s="43" t="s">
        <v>450</v>
      </c>
      <c r="C192" s="44">
        <v>0.3</v>
      </c>
      <c r="D192" s="44">
        <v>0.4</v>
      </c>
      <c r="E192" s="44">
        <v>0.4</v>
      </c>
      <c r="F192" s="44">
        <v>0.8</v>
      </c>
      <c r="G192" s="11">
        <v>1.1</v>
      </c>
      <c r="H192" s="11">
        <v>1.6</v>
      </c>
      <c r="I192" s="11">
        <v>1.6</v>
      </c>
      <c r="J192" s="11">
        <v>1.1</v>
      </c>
      <c r="K192" s="11">
        <v>0.9</v>
      </c>
    </row>
    <row r="193" ht="14.25" customHeight="1">
      <c r="A193" s="11" t="s">
        <v>451</v>
      </c>
      <c r="B193" s="43" t="s">
        <v>452</v>
      </c>
      <c r="C193" s="44">
        <v>8.3</v>
      </c>
      <c r="D193" s="44">
        <v>8.2</v>
      </c>
      <c r="E193" s="44">
        <v>8.0</v>
      </c>
      <c r="F193" s="44">
        <v>7.8</v>
      </c>
      <c r="G193" s="11">
        <v>8.0</v>
      </c>
      <c r="H193" s="11">
        <v>7.5</v>
      </c>
      <c r="I193" s="11">
        <v>7.2</v>
      </c>
      <c r="J193" s="11">
        <v>7.2</v>
      </c>
      <c r="K193" s="11">
        <v>8.0</v>
      </c>
    </row>
    <row r="194" ht="14.25" customHeight="1">
      <c r="A194" s="11" t="s">
        <v>453</v>
      </c>
      <c r="B194" s="43" t="s">
        <v>454</v>
      </c>
      <c r="C194" s="44">
        <v>1.2</v>
      </c>
      <c r="D194" s="44">
        <v>1.2</v>
      </c>
      <c r="E194" s="44">
        <v>1.2</v>
      </c>
      <c r="F194" s="44">
        <v>1.5</v>
      </c>
      <c r="G194" s="11">
        <v>1.5</v>
      </c>
      <c r="H194" s="11">
        <v>1.3</v>
      </c>
      <c r="I194" s="11">
        <v>1.3</v>
      </c>
      <c r="J194" s="11">
        <v>1.3</v>
      </c>
      <c r="K194" s="11">
        <v>1.5</v>
      </c>
    </row>
    <row r="195" ht="14.25" customHeight="1">
      <c r="A195" s="11" t="s">
        <v>542</v>
      </c>
      <c r="B195" s="43" t="s">
        <v>456</v>
      </c>
      <c r="C195" s="44">
        <v>2.9</v>
      </c>
      <c r="D195" s="44">
        <v>2.9</v>
      </c>
      <c r="E195" s="44">
        <v>2.7</v>
      </c>
      <c r="F195" s="44">
        <v>3.2</v>
      </c>
      <c r="G195" s="11">
        <v>3.9</v>
      </c>
      <c r="H195" s="11">
        <v>4.1</v>
      </c>
      <c r="I195" s="11">
        <v>3.8</v>
      </c>
      <c r="J195" s="11">
        <v>2.9</v>
      </c>
      <c r="K195" s="11">
        <v>2.8</v>
      </c>
    </row>
    <row r="196" ht="14.25" customHeight="1">
      <c r="A196" s="11" t="s">
        <v>543</v>
      </c>
      <c r="B196" s="43" t="s">
        <v>458</v>
      </c>
      <c r="C196" s="44">
        <v>6.1</v>
      </c>
      <c r="D196" s="44">
        <v>6.1</v>
      </c>
      <c r="E196" s="44">
        <v>6.6</v>
      </c>
      <c r="F196" s="44">
        <v>6.5</v>
      </c>
      <c r="G196" s="11">
        <v>7.6</v>
      </c>
      <c r="H196" s="11">
        <v>7.5</v>
      </c>
      <c r="I196" s="11">
        <v>6.4</v>
      </c>
      <c r="J196" s="11">
        <v>6.2</v>
      </c>
      <c r="K196" s="11">
        <v>6.3</v>
      </c>
    </row>
    <row r="197" ht="14.25" customHeight="1">
      <c r="A197" s="45" t="s">
        <v>461</v>
      </c>
      <c r="B197" s="46" t="s">
        <v>462</v>
      </c>
      <c r="C197" s="44">
        <v>6.2</v>
      </c>
      <c r="D197" s="44">
        <v>6.2</v>
      </c>
      <c r="E197" s="44">
        <v>6.5</v>
      </c>
      <c r="F197" s="44">
        <v>7.0</v>
      </c>
      <c r="G197" s="11">
        <v>6.5</v>
      </c>
      <c r="H197" s="11">
        <v>6.6</v>
      </c>
      <c r="I197" s="11">
        <v>5.5</v>
      </c>
      <c r="J197" s="11">
        <v>5.8</v>
      </c>
      <c r="K197" s="11">
        <v>5.8</v>
      </c>
    </row>
    <row r="198" ht="14.25" customHeight="1">
      <c r="A198" s="11" t="s">
        <v>463</v>
      </c>
      <c r="B198" s="43" t="s">
        <v>464</v>
      </c>
      <c r="C198" s="44">
        <v>5.8</v>
      </c>
      <c r="D198" s="44">
        <v>4.7</v>
      </c>
      <c r="E198" s="44">
        <v>4.7</v>
      </c>
      <c r="F198" s="44">
        <v>5.5</v>
      </c>
      <c r="G198" s="11">
        <v>4.7</v>
      </c>
      <c r="H198" s="11">
        <v>6.6</v>
      </c>
      <c r="I198" s="11">
        <v>6.0</v>
      </c>
      <c r="J198" s="11">
        <v>5.8</v>
      </c>
      <c r="K198" s="11">
        <v>5.5</v>
      </c>
    </row>
    <row r="199" ht="14.25" customHeight="1">
      <c r="A199" s="11" t="s">
        <v>465</v>
      </c>
      <c r="B199" s="43" t="s">
        <v>466</v>
      </c>
      <c r="C199" s="44">
        <v>2.9</v>
      </c>
      <c r="D199" s="44">
        <v>3.2</v>
      </c>
      <c r="E199" s="44">
        <v>3.0</v>
      </c>
      <c r="F199" s="44">
        <v>2.3</v>
      </c>
      <c r="G199" s="11">
        <v>3.2</v>
      </c>
      <c r="H199" s="11">
        <v>3.1</v>
      </c>
      <c r="I199" s="11">
        <v>3.1</v>
      </c>
      <c r="J199" s="11">
        <v>3.2</v>
      </c>
      <c r="K199" s="11">
        <v>3.5</v>
      </c>
    </row>
    <row r="200" ht="14.25" customHeight="1">
      <c r="A200" s="11" t="s">
        <v>467</v>
      </c>
      <c r="B200" s="43" t="s">
        <v>468</v>
      </c>
      <c r="C200" s="44">
        <v>2.8</v>
      </c>
      <c r="D200" s="44">
        <v>3.4</v>
      </c>
      <c r="E200" s="44">
        <v>2.8</v>
      </c>
      <c r="F200" s="44">
        <v>2.7</v>
      </c>
      <c r="G200" s="11">
        <v>2.8</v>
      </c>
      <c r="H200" s="11">
        <v>3.0</v>
      </c>
      <c r="I200" s="11">
        <v>3.6</v>
      </c>
      <c r="J200" s="11">
        <v>2.5</v>
      </c>
      <c r="K200" s="11">
        <v>2.1</v>
      </c>
    </row>
    <row r="201" ht="14.25" customHeight="1">
      <c r="B201" s="43"/>
    </row>
    <row r="202" ht="14.25" customHeight="1">
      <c r="A202" s="11" t="s">
        <v>469</v>
      </c>
      <c r="C202" s="11">
        <v>198.0</v>
      </c>
      <c r="D202" s="11">
        <v>198.0</v>
      </c>
      <c r="E202" s="11">
        <v>198.0</v>
      </c>
      <c r="F202" s="11">
        <v>198.0</v>
      </c>
      <c r="G202" s="11">
        <v>198.0</v>
      </c>
      <c r="H202" s="11">
        <v>198.0</v>
      </c>
      <c r="I202" s="11">
        <v>198.0</v>
      </c>
      <c r="J202" s="11">
        <v>198.0</v>
      </c>
      <c r="K202" s="11">
        <v>198.0</v>
      </c>
    </row>
    <row r="203" ht="14.2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</row>
    <row r="204" ht="14.25" customHeight="1"/>
    <row r="205" ht="14.2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</row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1:K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32.38"/>
    <col customWidth="1" min="2" max="2" width="5.13"/>
    <col customWidth="1" min="3" max="9" width="16.5"/>
    <col customWidth="1" min="10" max="26" width="8.63"/>
  </cols>
  <sheetData>
    <row r="1" ht="14.25" customHeight="1">
      <c r="A1" s="25"/>
      <c r="B1" s="25"/>
      <c r="C1" s="47" t="s">
        <v>544</v>
      </c>
      <c r="D1" s="48" t="s">
        <v>545</v>
      </c>
      <c r="E1" s="48" t="s">
        <v>545</v>
      </c>
      <c r="F1" s="48" t="s">
        <v>545</v>
      </c>
      <c r="G1" s="47" t="s">
        <v>544</v>
      </c>
      <c r="H1" s="47" t="s">
        <v>544</v>
      </c>
      <c r="I1" s="48" t="s">
        <v>545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4.25" customHeight="1">
      <c r="A2" s="25"/>
      <c r="B2" s="25"/>
      <c r="C2" s="49">
        <v>2022.0</v>
      </c>
      <c r="D2" s="49">
        <v>2021.0</v>
      </c>
      <c r="E2" s="49">
        <v>2022.0</v>
      </c>
      <c r="F2" s="49">
        <v>2023.0</v>
      </c>
      <c r="G2" s="49">
        <v>2022.0</v>
      </c>
      <c r="H2" s="49">
        <v>2022.0</v>
      </c>
      <c r="I2" s="49">
        <v>2021.0</v>
      </c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50" t="s">
        <v>1</v>
      </c>
      <c r="B3" s="50" t="s">
        <v>2</v>
      </c>
      <c r="C3" s="51" t="s">
        <v>546</v>
      </c>
      <c r="D3" s="51" t="s">
        <v>547</v>
      </c>
      <c r="E3" s="51" t="s">
        <v>548</v>
      </c>
      <c r="F3" s="51" t="s">
        <v>549</v>
      </c>
      <c r="G3" s="51" t="s">
        <v>550</v>
      </c>
      <c r="H3" s="51" t="s">
        <v>551</v>
      </c>
      <c r="I3" s="51" t="s">
        <v>552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22" t="s">
        <v>3</v>
      </c>
      <c r="B4" s="22" t="s">
        <v>4</v>
      </c>
      <c r="C4" s="29" t="str">
        <f>IF(COUNT(VLOOKUP($B4,Water!$B$2:$L$235,11,FALSE)&amp;"")=1,(VLOOKUP($B4,Water!$B$2:$L$235,11,FALSE)),"")</f>
        <v/>
      </c>
      <c r="D4" s="29" t="str">
        <f>IF(COUNT(VLOOKUP($B4,Food!$B$2:$K$236,10,FALSE)&amp;"")=1,VLOOKUP($B4,Food!$B$2:$K$236,10,FALSE),"")</f>
        <v/>
      </c>
      <c r="E4" s="29" t="str">
        <f>IF(COUNT(VLOOKUP($B4,Housing!$B$2:$L$236,11,FALSE)&amp;"")=1,VLOOKUP($B4,Housing!$B$2:$L$236,11,FALSE),"")</f>
        <v/>
      </c>
      <c r="F4" s="29" t="str">
        <f>IF(COUNT(VLOOKUP($B4,Employment!$B$2:$M$236,12,FALSE)&amp;"")=1,VLOOKUP($B4,Employment!$B$2:$M$236,12,FALSE),"")</f>
        <v/>
      </c>
      <c r="G4" s="29" t="str">
        <f>IF(COUNT(VLOOKUP($B4,Education!$B$2:$L$236,11,FALSE)&amp;"")=1,VLOOKUP($B4,Education!$B$2:$L$236,11,FALSE),"")</f>
        <v/>
      </c>
      <c r="H4" s="29" t="str">
        <f>IF(COUNT(VLOOKUP($B4,Gender!$B$2:$K$236,10,FALSE)&amp;"")=1,VLOOKUP($B4,Gender!$B$2:$K$236,10,FALSE),"")</f>
        <v/>
      </c>
      <c r="I4" s="29" t="str">
        <f>IF(COUNT(VLOOKUP($B4,'Religious Freedom'!$B$2:$K$200,10,FALSE)&amp;"")=1,VLOOKUP($B4,'Religious Freedom'!$B$2:$K$200,10,FALSE),"")</f>
        <v/>
      </c>
    </row>
    <row r="5" ht="14.25" customHeight="1">
      <c r="A5" s="22" t="s">
        <v>5</v>
      </c>
      <c r="B5" s="22" t="s">
        <v>6</v>
      </c>
      <c r="C5" s="29" t="str">
        <f>IF(COUNT(VLOOKUP($B5,Water!$B$2:$L$235,11,FALSE)&amp;"")=1,(VLOOKUP($B5,Water!$B$2:$L$235,11,FALSE)),"")</f>
        <v/>
      </c>
      <c r="D5" s="29" t="str">
        <f>IF(COUNT(VLOOKUP($B5,Food!$B$2:$K$236,10,FALSE)&amp;"")=1,VLOOKUP($B5,Food!$B$2:$K$236,10,FALSE),"")</f>
        <v/>
      </c>
      <c r="E5" s="29" t="str">
        <f>IF(COUNT(VLOOKUP($B5,Housing!$B$2:$L$236,11,FALSE)&amp;"")=1,VLOOKUP($B5,Housing!$B$2:$L$236,11,FALSE),"")</f>
        <v/>
      </c>
      <c r="F5" s="29" t="str">
        <f>IF(COUNT(VLOOKUP($B5,Employment!$B$2:$M$236,12,FALSE)&amp;"")=1,VLOOKUP($B5,Employment!$B$2:$M$236,12,FALSE),"")</f>
        <v/>
      </c>
      <c r="G5" s="29" t="str">
        <f>IF(COUNT(VLOOKUP($B5,Education!$B$2:$L$236,11,FALSE)&amp;"")=1,VLOOKUP($B5,Education!$B$2:$L$236,11,FALSE),"")</f>
        <v/>
      </c>
      <c r="H5" s="29" t="str">
        <f>IF(COUNT(VLOOKUP($B5,Gender!$B$2:$K$236,10,FALSE)&amp;"")=1,VLOOKUP($B5,Gender!$B$2:$K$236,10,FALSE),"")</f>
        <v/>
      </c>
      <c r="I5" s="29" t="str">
        <f>IF(COUNT(VLOOKUP($B5,'Religious Freedom'!$B$2:$K$200,10,FALSE)&amp;"")=1,VLOOKUP($B5,'Religious Freedom'!$B$2:$K$200,10,FALSE),"")</f>
        <v/>
      </c>
    </row>
    <row r="6" ht="14.25" customHeight="1">
      <c r="A6" s="22" t="s">
        <v>7</v>
      </c>
      <c r="B6" s="22" t="s">
        <v>8</v>
      </c>
      <c r="C6" s="29" t="str">
        <f>IF(COUNT(VLOOKUP($B6,Water!$B$2:$L$235,11,FALSE)&amp;"")=1,(VLOOKUP($B6,Water!$B$2:$L$235,11,FALSE)),"")</f>
        <v/>
      </c>
      <c r="D6" s="29" t="str">
        <f>IF(COUNT(VLOOKUP($B6,Food!$B$2:$K$236,10,FALSE)&amp;"")=1,VLOOKUP($B6,Food!$B$2:$K$236,10,FALSE),"")</f>
        <v/>
      </c>
      <c r="E6" s="29" t="str">
        <f>IF(COUNT(VLOOKUP($B6,Housing!$B$2:$L$236,11,FALSE)&amp;"")=1,VLOOKUP($B6,Housing!$B$2:$L$236,11,FALSE),"")</f>
        <v/>
      </c>
      <c r="F6" s="29" t="str">
        <f>IF(COUNT(VLOOKUP($B6,Employment!$B$2:$M$236,12,FALSE)&amp;"")=1,VLOOKUP($B6,Employment!$B$2:$M$236,12,FALSE),"")</f>
        <v/>
      </c>
      <c r="G6" s="29" t="str">
        <f>IF(COUNT(VLOOKUP($B6,Education!$B$2:$L$236,11,FALSE)&amp;"")=1,VLOOKUP($B6,Education!$B$2:$L$236,11,FALSE),"")</f>
        <v/>
      </c>
      <c r="H6" s="29" t="str">
        <f>IF(COUNT(VLOOKUP($B6,Gender!$B$2:$K$236,10,FALSE)&amp;"")=1,VLOOKUP($B6,Gender!$B$2:$K$236,10,FALSE),"")</f>
        <v/>
      </c>
      <c r="I6" s="29" t="str">
        <f>IF(COUNT(VLOOKUP($B6,'Religious Freedom'!$B$2:$K$200,10,FALSE)&amp;"")=1,VLOOKUP($B6,'Religious Freedom'!$B$2:$K$200,10,FALSE),"")</f>
        <v/>
      </c>
    </row>
    <row r="7" ht="14.25" customHeight="1">
      <c r="A7" s="22" t="s">
        <v>9</v>
      </c>
      <c r="B7" s="22" t="s">
        <v>10</v>
      </c>
      <c r="C7" s="29" t="str">
        <f>IF(COUNT(VLOOKUP($B7,Water!$B$2:$L$235,11,FALSE)&amp;"")=1,(VLOOKUP($B7,Water!$B$2:$L$235,11,FALSE)),"")</f>
        <v/>
      </c>
      <c r="D7" s="29" t="str">
        <f>IF(COUNT(VLOOKUP($B7,Food!$B$2:$K$236,10,FALSE)&amp;"")=1,VLOOKUP($B7,Food!$B$2:$K$236,10,FALSE),"")</f>
        <v/>
      </c>
      <c r="E7" s="29" t="str">
        <f>IF(COUNT(VLOOKUP($B7,Housing!$B$2:$L$236,11,FALSE)&amp;"")=1,VLOOKUP($B7,Housing!$B$2:$L$236,11,FALSE),"")</f>
        <v/>
      </c>
      <c r="F7" s="29" t="str">
        <f>IF(COUNT(VLOOKUP($B7,Employment!$B$2:$M$236,12,FALSE)&amp;"")=1,VLOOKUP($B7,Employment!$B$2:$M$236,12,FALSE),"")</f>
        <v/>
      </c>
      <c r="G7" s="29" t="str">
        <f>IF(COUNT(VLOOKUP($B7,Education!$B$2:$L$236,11,FALSE)&amp;"")=1,VLOOKUP($B7,Education!$B$2:$L$236,11,FALSE),"")</f>
        <v/>
      </c>
      <c r="H7" s="29" t="str">
        <f>IF(COUNT(VLOOKUP($B7,Gender!$B$2:$K$236,10,FALSE)&amp;"")=1,VLOOKUP($B7,Gender!$B$2:$K$236,10,FALSE),"")</f>
        <v/>
      </c>
      <c r="I7" s="29" t="str">
        <f>IF(COUNT(VLOOKUP($B7,'Religious Freedom'!$B$2:$K$200,10,FALSE)&amp;"")=1,VLOOKUP($B7,'Religious Freedom'!$B$2:$K$200,10,FALSE),"")</f>
        <v/>
      </c>
    </row>
    <row r="8" ht="14.25" customHeight="1">
      <c r="A8" s="22" t="s">
        <v>11</v>
      </c>
      <c r="B8" s="22" t="s">
        <v>12</v>
      </c>
      <c r="C8" s="29" t="str">
        <f>IF(COUNT(VLOOKUP($B8,Water!$B$2:$L$235,11,FALSE)&amp;"")=1,(VLOOKUP($B8,Water!$B$2:$L$235,11,FALSE)),"")</f>
        <v/>
      </c>
      <c r="D8" s="29" t="str">
        <f>IF(COUNT(VLOOKUP($B8,Food!$B$2:$K$236,10,FALSE)&amp;"")=1,VLOOKUP($B8,Food!$B$2:$K$236,10,FALSE),"")</f>
        <v/>
      </c>
      <c r="E8" s="29" t="str">
        <f>IF(COUNT(VLOOKUP($B8,Housing!$B$2:$L$236,11,FALSE)&amp;"")=1,VLOOKUP($B8,Housing!$B$2:$L$236,11,FALSE),"")</f>
        <v/>
      </c>
      <c r="F8" s="29" t="str">
        <f>IF(COUNT(VLOOKUP($B8,Employment!$B$2:$M$236,12,FALSE)&amp;"")=1,VLOOKUP($B8,Employment!$B$2:$M$236,12,FALSE),"")</f>
        <v/>
      </c>
      <c r="G8" s="29" t="str">
        <f>IF(COUNT(VLOOKUP($B8,Education!$B$2:$L$236,11,FALSE)&amp;"")=1,VLOOKUP($B8,Education!$B$2:$L$236,11,FALSE),"")</f>
        <v/>
      </c>
      <c r="H8" s="29" t="str">
        <f>IF(COUNT(VLOOKUP($B8,Gender!$B$2:$K$236,10,FALSE)&amp;"")=1,VLOOKUP($B8,Gender!$B$2:$K$236,10,FALSE),"")</f>
        <v/>
      </c>
      <c r="I8" s="29" t="str">
        <f>IF(COUNT(VLOOKUP($B8,'Religious Freedom'!$B$2:$K$200,10,FALSE)&amp;"")=1,VLOOKUP($B8,'Religious Freedom'!$B$2:$K$200,10,FALSE),"")</f>
        <v/>
      </c>
    </row>
    <row r="9" ht="14.25" customHeight="1">
      <c r="A9" s="22" t="s">
        <v>13</v>
      </c>
      <c r="B9" s="22" t="s">
        <v>14</v>
      </c>
      <c r="C9" s="29" t="str">
        <f>IF(COUNT(VLOOKUP($B9,Water!$B$2:$L$235,11,FALSE)&amp;"")=1,(VLOOKUP($B9,Water!$B$2:$L$235,11,FALSE)),"")</f>
        <v/>
      </c>
      <c r="D9" s="29" t="str">
        <f>IF(COUNT(VLOOKUP($B9,Food!$B$2:$K$236,10,FALSE)&amp;"")=1,VLOOKUP($B9,Food!$B$2:$K$236,10,FALSE),"")</f>
        <v/>
      </c>
      <c r="E9" s="29" t="str">
        <f>IF(COUNT(VLOOKUP($B9,Housing!$B$2:$L$236,11,FALSE)&amp;"")=1,VLOOKUP($B9,Housing!$B$2:$L$236,11,FALSE),"")</f>
        <v/>
      </c>
      <c r="F9" s="29" t="str">
        <f>IF(COUNT(VLOOKUP($B9,Employment!$B$2:$M$236,12,FALSE)&amp;"")=1,VLOOKUP($B9,Employment!$B$2:$M$236,12,FALSE),"")</f>
        <v/>
      </c>
      <c r="G9" s="29" t="str">
        <f>IF(COUNT(VLOOKUP($B9,Education!$B$2:$L$236,11,FALSE)&amp;"")=1,VLOOKUP($B9,Education!$B$2:$L$236,11,FALSE),"")</f>
        <v/>
      </c>
      <c r="H9" s="29" t="str">
        <f>IF(COUNT(VLOOKUP($B9,Gender!$B$2:$K$236,10,FALSE)&amp;"")=1,VLOOKUP($B9,Gender!$B$2:$K$236,10,FALSE),"")</f>
        <v/>
      </c>
      <c r="I9" s="29" t="str">
        <f>IF(COUNT(VLOOKUP($B9,'Religious Freedom'!$B$2:$K$200,10,FALSE)&amp;"")=1,VLOOKUP($B9,'Religious Freedom'!$B$2:$K$200,10,FALSE),"")</f>
        <v/>
      </c>
    </row>
    <row r="10" ht="14.25" customHeight="1">
      <c r="A10" s="22" t="s">
        <v>15</v>
      </c>
      <c r="B10" s="22" t="s">
        <v>16</v>
      </c>
      <c r="C10" s="29" t="str">
        <f>IF(COUNT(VLOOKUP($B10,Water!$B$2:$L$235,11,FALSE)&amp;"")=1,(VLOOKUP($B10,Water!$B$2:$L$235,11,FALSE)),"")</f>
        <v/>
      </c>
      <c r="D10" s="29" t="str">
        <f>IF(COUNT(VLOOKUP($B10,Food!$B$2:$K$236,10,FALSE)&amp;"")=1,VLOOKUP($B10,Food!$B$2:$K$236,10,FALSE),"")</f>
        <v/>
      </c>
      <c r="E10" s="29" t="str">
        <f>IF(COUNT(VLOOKUP($B10,Housing!$B$2:$L$236,11,FALSE)&amp;"")=1,VLOOKUP($B10,Housing!$B$2:$L$236,11,FALSE),"")</f>
        <v/>
      </c>
      <c r="F10" s="29" t="str">
        <f>IF(COUNT(VLOOKUP($B10,Employment!$B$2:$M$236,12,FALSE)&amp;"")=1,VLOOKUP($B10,Employment!$B$2:$M$236,12,FALSE),"")</f>
        <v/>
      </c>
      <c r="G10" s="29" t="str">
        <f>IF(COUNT(VLOOKUP($B10,Education!$B$2:$L$236,11,FALSE)&amp;"")=1,VLOOKUP($B10,Education!$B$2:$L$236,11,FALSE),"")</f>
        <v/>
      </c>
      <c r="H10" s="29" t="str">
        <f>IF(COUNT(VLOOKUP($B10,Gender!$B$2:$K$236,10,FALSE)&amp;"")=1,VLOOKUP($B10,Gender!$B$2:$K$236,10,FALSE),"")</f>
        <v/>
      </c>
      <c r="I10" s="29" t="str">
        <f>IF(COUNT(VLOOKUP($B10,'Religious Freedom'!$B$2:$K$200,10,FALSE)&amp;"")=1,VLOOKUP($B10,'Religious Freedom'!$B$2:$K$200,10,FALSE),"")</f>
        <v/>
      </c>
    </row>
    <row r="11" ht="14.25" customHeight="1">
      <c r="A11" s="22" t="s">
        <v>17</v>
      </c>
      <c r="B11" s="22" t="s">
        <v>18</v>
      </c>
      <c r="C11" s="29" t="str">
        <f>IF(COUNT(VLOOKUP($B11,Water!$B$2:$L$235,11,FALSE)&amp;"")=1,(VLOOKUP($B11,Water!$B$2:$L$235,11,FALSE)),"")</f>
        <v/>
      </c>
      <c r="D11" s="29" t="str">
        <f>IF(COUNT(VLOOKUP($B11,Food!$B$2:$K$236,10,FALSE)&amp;"")=1,VLOOKUP($B11,Food!$B$2:$K$236,10,FALSE),"")</f>
        <v/>
      </c>
      <c r="E11" s="29" t="str">
        <f>IF(COUNT(VLOOKUP($B11,Housing!$B$2:$L$236,11,FALSE)&amp;"")=1,VLOOKUP($B11,Housing!$B$2:$L$236,11,FALSE),"")</f>
        <v/>
      </c>
      <c r="F11" s="29" t="str">
        <f>IF(COUNT(VLOOKUP($B11,Employment!$B$2:$M$236,12,FALSE)&amp;"")=1,VLOOKUP($B11,Employment!$B$2:$M$236,12,FALSE),"")</f>
        <v/>
      </c>
      <c r="G11" s="29" t="str">
        <f>IF(COUNT(VLOOKUP($B11,Education!$B$2:$L$236,11,FALSE)&amp;"")=1,VLOOKUP($B11,Education!$B$2:$L$236,11,FALSE),"")</f>
        <v/>
      </c>
      <c r="H11" s="29" t="str">
        <f>IF(COUNT(VLOOKUP($B11,Gender!$B$2:$K$236,10,FALSE)&amp;"")=1,VLOOKUP($B11,Gender!$B$2:$K$236,10,FALSE),"")</f>
        <v/>
      </c>
      <c r="I11" s="29" t="str">
        <f>IF(COUNT(VLOOKUP($B11,'Religious Freedom'!$B$2:$K$200,10,FALSE)&amp;"")=1,VLOOKUP($B11,'Religious Freedom'!$B$2:$K$200,10,FALSE),"")</f>
        <v/>
      </c>
    </row>
    <row r="12" ht="14.25" customHeight="1">
      <c r="A12" s="22" t="s">
        <v>19</v>
      </c>
      <c r="B12" s="22" t="s">
        <v>20</v>
      </c>
      <c r="C12" s="29" t="str">
        <f>IF(COUNT(VLOOKUP($B12,Water!$B$2:$L$235,11,FALSE)&amp;"")=1,(VLOOKUP($B12,Water!$B$2:$L$235,11,FALSE)),"")</f>
        <v/>
      </c>
      <c r="D12" s="29" t="str">
        <f>IF(COUNT(VLOOKUP($B12,Food!$B$2:$K$236,10,FALSE)&amp;"")=1,VLOOKUP($B12,Food!$B$2:$K$236,10,FALSE),"")</f>
        <v/>
      </c>
      <c r="E12" s="29" t="str">
        <f>IF(COUNT(VLOOKUP($B12,Housing!$B$2:$L$236,11,FALSE)&amp;"")=1,VLOOKUP($B12,Housing!$B$2:$L$236,11,FALSE),"")</f>
        <v/>
      </c>
      <c r="F12" s="29" t="str">
        <f>IF(COUNT(VLOOKUP($B12,Employment!$B$2:$M$236,12,FALSE)&amp;"")=1,VLOOKUP($B12,Employment!$B$2:$M$236,12,FALSE),"")</f>
        <v/>
      </c>
      <c r="G12" s="29" t="str">
        <f>IF(COUNT(VLOOKUP($B12,Education!$B$2:$L$236,11,FALSE)&amp;"")=1,VLOOKUP($B12,Education!$B$2:$L$236,11,FALSE),"")</f>
        <v/>
      </c>
      <c r="H12" s="29" t="str">
        <f>IF(COUNT(VLOOKUP($B12,Gender!$B$2:$K$236,10,FALSE)&amp;"")=1,VLOOKUP($B12,Gender!$B$2:$K$236,10,FALSE),"")</f>
        <v/>
      </c>
      <c r="I12" s="29" t="str">
        <f>IF(COUNT(VLOOKUP($B12,'Religious Freedom'!$B$2:$K$200,10,FALSE)&amp;"")=1,VLOOKUP($B12,'Religious Freedom'!$B$2:$K$200,10,FALSE),"")</f>
        <v/>
      </c>
    </row>
    <row r="13" ht="14.25" customHeight="1">
      <c r="A13" s="22" t="s">
        <v>21</v>
      </c>
      <c r="B13" s="22" t="s">
        <v>22</v>
      </c>
      <c r="C13" s="29" t="str">
        <f>IF(COUNT(VLOOKUP($B13,Water!$B$2:$L$235,11,FALSE)&amp;"")=1,(VLOOKUP($B13,Water!$B$2:$L$235,11,FALSE)),"")</f>
        <v/>
      </c>
      <c r="D13" s="29" t="str">
        <f>IF(COUNT(VLOOKUP($B13,Food!$B$2:$K$236,10,FALSE)&amp;"")=1,VLOOKUP($B13,Food!$B$2:$K$236,10,FALSE),"")</f>
        <v/>
      </c>
      <c r="E13" s="29" t="str">
        <f>IF(COUNT(VLOOKUP($B13,Housing!$B$2:$L$236,11,FALSE)&amp;"")=1,VLOOKUP($B13,Housing!$B$2:$L$236,11,FALSE),"")</f>
        <v/>
      </c>
      <c r="F13" s="29" t="str">
        <f>IF(COUNT(VLOOKUP($B13,Employment!$B$2:$M$236,12,FALSE)&amp;"")=1,VLOOKUP($B13,Employment!$B$2:$M$236,12,FALSE),"")</f>
        <v/>
      </c>
      <c r="G13" s="29" t="str">
        <f>IF(COUNT(VLOOKUP($B13,Education!$B$2:$L$236,11,FALSE)&amp;"")=1,VLOOKUP($B13,Education!$B$2:$L$236,11,FALSE),"")</f>
        <v/>
      </c>
      <c r="H13" s="29" t="str">
        <f>IF(COUNT(VLOOKUP($B13,Gender!$B$2:$K$236,10,FALSE)&amp;"")=1,VLOOKUP($B13,Gender!$B$2:$K$236,10,FALSE),"")</f>
        <v/>
      </c>
      <c r="I13" s="29" t="str">
        <f>IF(COUNT(VLOOKUP($B13,'Religious Freedom'!$B$2:$K$200,10,FALSE)&amp;"")=1,VLOOKUP($B13,'Religious Freedom'!$B$2:$K$200,10,FALSE),"")</f>
        <v/>
      </c>
    </row>
    <row r="14" ht="14.25" customHeight="1">
      <c r="A14" s="22" t="s">
        <v>23</v>
      </c>
      <c r="B14" s="22" t="s">
        <v>24</v>
      </c>
      <c r="C14" s="29" t="str">
        <f>IF(COUNT(VLOOKUP($B14,Water!$B$2:$L$235,11,FALSE)&amp;"")=1,(VLOOKUP($B14,Water!$B$2:$L$235,11,FALSE)),"")</f>
        <v/>
      </c>
      <c r="D14" s="29" t="str">
        <f>IF(COUNT(VLOOKUP($B14,Food!$B$2:$K$236,10,FALSE)&amp;"")=1,VLOOKUP($B14,Food!$B$2:$K$236,10,FALSE),"")</f>
        <v/>
      </c>
      <c r="E14" s="29" t="str">
        <f>IF(COUNT(VLOOKUP($B14,Housing!$B$2:$L$236,11,FALSE)&amp;"")=1,VLOOKUP($B14,Housing!$B$2:$L$236,11,FALSE),"")</f>
        <v/>
      </c>
      <c r="F14" s="29" t="str">
        <f>IF(COUNT(VLOOKUP($B14,Employment!$B$2:$M$236,12,FALSE)&amp;"")=1,VLOOKUP($B14,Employment!$B$2:$M$236,12,FALSE),"")</f>
        <v/>
      </c>
      <c r="G14" s="29" t="str">
        <f>IF(COUNT(VLOOKUP($B14,Education!$B$2:$L$236,11,FALSE)&amp;"")=1,VLOOKUP($B14,Education!$B$2:$L$236,11,FALSE),"")</f>
        <v/>
      </c>
      <c r="H14" s="29" t="str">
        <f>IF(COUNT(VLOOKUP($B14,Gender!$B$2:$K$236,10,FALSE)&amp;"")=1,VLOOKUP($B14,Gender!$B$2:$K$236,10,FALSE),"")</f>
        <v/>
      </c>
      <c r="I14" s="29" t="str">
        <f>IF(COUNT(VLOOKUP($B14,'Religious Freedom'!$B$2:$K$200,10,FALSE)&amp;"")=1,VLOOKUP($B14,'Religious Freedom'!$B$2:$K$200,10,FALSE),"")</f>
        <v/>
      </c>
    </row>
    <row r="15" ht="14.25" customHeight="1">
      <c r="A15" s="22" t="s">
        <v>25</v>
      </c>
      <c r="B15" s="22" t="s">
        <v>26</v>
      </c>
      <c r="C15" s="29" t="str">
        <f>IF(COUNT(VLOOKUP($B15,Water!$B$2:$L$235,11,FALSE)&amp;"")=1,(VLOOKUP($B15,Water!$B$2:$L$235,11,FALSE)),"")</f>
        <v/>
      </c>
      <c r="D15" s="29" t="str">
        <f>IF(COUNT(VLOOKUP($B15,Food!$B$2:$K$236,10,FALSE)&amp;"")=1,VLOOKUP($B15,Food!$B$2:$K$236,10,FALSE),"")</f>
        <v/>
      </c>
      <c r="E15" s="29" t="str">
        <f>IF(COUNT(VLOOKUP($B15,Housing!$B$2:$L$236,11,FALSE)&amp;"")=1,VLOOKUP($B15,Housing!$B$2:$L$236,11,FALSE),"")</f>
        <v/>
      </c>
      <c r="F15" s="29" t="str">
        <f>IF(COUNT(VLOOKUP($B15,Employment!$B$2:$M$236,12,FALSE)&amp;"")=1,VLOOKUP($B15,Employment!$B$2:$M$236,12,FALSE),"")</f>
        <v/>
      </c>
      <c r="G15" s="29" t="str">
        <f>IF(COUNT(VLOOKUP($B15,Education!$B$2:$L$236,11,FALSE)&amp;"")=1,VLOOKUP($B15,Education!$B$2:$L$236,11,FALSE),"")</f>
        <v/>
      </c>
      <c r="H15" s="29" t="str">
        <f>IF(COUNT(VLOOKUP($B15,Gender!$B$2:$K$236,10,FALSE)&amp;"")=1,VLOOKUP($B15,Gender!$B$2:$K$236,10,FALSE),"")</f>
        <v/>
      </c>
      <c r="I15" s="29" t="str">
        <f>IF(COUNT(VLOOKUP($B15,'Religious Freedom'!$B$2:$K$200,10,FALSE)&amp;"")=1,VLOOKUP($B15,'Religious Freedom'!$B$2:$K$200,10,FALSE),"")</f>
        <v/>
      </c>
    </row>
    <row r="16" ht="14.25" customHeight="1">
      <c r="A16" s="22" t="s">
        <v>27</v>
      </c>
      <c r="B16" s="22" t="s">
        <v>28</v>
      </c>
      <c r="C16" s="29" t="str">
        <f>IF(COUNT(VLOOKUP($B16,Water!$B$2:$L$235,11,FALSE)&amp;"")=1,(VLOOKUP($B16,Water!$B$2:$L$235,11,FALSE)),"")</f>
        <v/>
      </c>
      <c r="D16" s="29" t="str">
        <f>IF(COUNT(VLOOKUP($B16,Food!$B$2:$K$236,10,FALSE)&amp;"")=1,VLOOKUP($B16,Food!$B$2:$K$236,10,FALSE),"")</f>
        <v/>
      </c>
      <c r="E16" s="29" t="str">
        <f>IF(COUNT(VLOOKUP($B16,Housing!$B$2:$L$236,11,FALSE)&amp;"")=1,VLOOKUP($B16,Housing!$B$2:$L$236,11,FALSE),"")</f>
        <v/>
      </c>
      <c r="F16" s="29" t="str">
        <f>IF(COUNT(VLOOKUP($B16,Employment!$B$2:$M$236,12,FALSE)&amp;"")=1,VLOOKUP($B16,Employment!$B$2:$M$236,12,FALSE),"")</f>
        <v/>
      </c>
      <c r="G16" s="29" t="str">
        <f>IF(COUNT(VLOOKUP($B16,Education!$B$2:$L$236,11,FALSE)&amp;"")=1,VLOOKUP($B16,Education!$B$2:$L$236,11,FALSE),"")</f>
        <v/>
      </c>
      <c r="H16" s="29" t="str">
        <f>IF(COUNT(VLOOKUP($B16,Gender!$B$2:$K$236,10,FALSE)&amp;"")=1,VLOOKUP($B16,Gender!$B$2:$K$236,10,FALSE),"")</f>
        <v/>
      </c>
      <c r="I16" s="29" t="str">
        <f>IF(COUNT(VLOOKUP($B16,'Religious Freedom'!$B$2:$K$200,10,FALSE)&amp;"")=1,VLOOKUP($B16,'Religious Freedom'!$B$2:$K$200,10,FALSE),"")</f>
        <v/>
      </c>
    </row>
    <row r="17" ht="14.25" customHeight="1">
      <c r="A17" s="22" t="s">
        <v>29</v>
      </c>
      <c r="B17" s="22" t="s">
        <v>30</v>
      </c>
      <c r="C17" s="29" t="str">
        <f>IF(COUNT(VLOOKUP($B17,Water!$B$2:$L$235,11,FALSE)&amp;"")=1,(VLOOKUP($B17,Water!$B$2:$L$235,11,FALSE)),"")</f>
        <v/>
      </c>
      <c r="D17" s="29" t="str">
        <f>IF(COUNT(VLOOKUP($B17,Food!$B$2:$K$236,10,FALSE)&amp;"")=1,VLOOKUP($B17,Food!$B$2:$K$236,10,FALSE),"")</f>
        <v/>
      </c>
      <c r="E17" s="29" t="str">
        <f>IF(COUNT(VLOOKUP($B17,Housing!$B$2:$L$236,11,FALSE)&amp;"")=1,VLOOKUP($B17,Housing!$B$2:$L$236,11,FALSE),"")</f>
        <v/>
      </c>
      <c r="F17" s="29" t="str">
        <f>IF(COUNT(VLOOKUP($B17,Employment!$B$2:$M$236,12,FALSE)&amp;"")=1,VLOOKUP($B17,Employment!$B$2:$M$236,12,FALSE),"")</f>
        <v/>
      </c>
      <c r="G17" s="29" t="str">
        <f>IF(COUNT(VLOOKUP($B17,Education!$B$2:$L$236,11,FALSE)&amp;"")=1,VLOOKUP($B17,Education!$B$2:$L$236,11,FALSE),"")</f>
        <v/>
      </c>
      <c r="H17" s="29" t="str">
        <f>IF(COUNT(VLOOKUP($B17,Gender!$B$2:$K$236,10,FALSE)&amp;"")=1,VLOOKUP($B17,Gender!$B$2:$K$236,10,FALSE),"")</f>
        <v/>
      </c>
      <c r="I17" s="29" t="str">
        <f>IF(COUNT(VLOOKUP($B17,'Religious Freedom'!$B$2:$K$200,10,FALSE)&amp;"")=1,VLOOKUP($B17,'Religious Freedom'!$B$2:$K$200,10,FALSE),"")</f>
        <v/>
      </c>
    </row>
    <row r="18" ht="14.25" customHeight="1">
      <c r="A18" s="22" t="s">
        <v>31</v>
      </c>
      <c r="B18" s="22" t="s">
        <v>32</v>
      </c>
      <c r="C18" s="29" t="str">
        <f>IF(COUNT(VLOOKUP($B18,Water!$B$2:$L$235,11,FALSE)&amp;"")=1,(VLOOKUP($B18,Water!$B$2:$L$235,11,FALSE)),"")</f>
        <v/>
      </c>
      <c r="D18" s="29" t="str">
        <f>IF(COUNT(VLOOKUP($B18,Food!$B$2:$K$236,10,FALSE)&amp;"")=1,VLOOKUP($B18,Food!$B$2:$K$236,10,FALSE),"")</f>
        <v/>
      </c>
      <c r="E18" s="29" t="str">
        <f>IF(COUNT(VLOOKUP($B18,Housing!$B$2:$L$236,11,FALSE)&amp;"")=1,VLOOKUP($B18,Housing!$B$2:$L$236,11,FALSE),"")</f>
        <v/>
      </c>
      <c r="F18" s="29" t="str">
        <f>IF(COUNT(VLOOKUP($B18,Employment!$B$2:$M$236,12,FALSE)&amp;"")=1,VLOOKUP($B18,Employment!$B$2:$M$236,12,FALSE),"")</f>
        <v/>
      </c>
      <c r="G18" s="29" t="str">
        <f>IF(COUNT(VLOOKUP($B18,Education!$B$2:$L$236,11,FALSE)&amp;"")=1,VLOOKUP($B18,Education!$B$2:$L$236,11,FALSE),"")</f>
        <v/>
      </c>
      <c r="H18" s="29" t="str">
        <f>IF(COUNT(VLOOKUP($B18,Gender!$B$2:$K$236,10,FALSE)&amp;"")=1,VLOOKUP($B18,Gender!$B$2:$K$236,10,FALSE),"")</f>
        <v/>
      </c>
      <c r="I18" s="29" t="str">
        <f>IF(COUNT(VLOOKUP($B18,'Religious Freedom'!$B$2:$K$200,10,FALSE)&amp;"")=1,VLOOKUP($B18,'Religious Freedom'!$B$2:$K$200,10,FALSE),"")</f>
        <v/>
      </c>
    </row>
    <row r="19" ht="14.25" customHeight="1">
      <c r="A19" s="22" t="s">
        <v>33</v>
      </c>
      <c r="B19" s="22" t="s">
        <v>34</v>
      </c>
      <c r="C19" s="29" t="str">
        <f>IF(COUNT(VLOOKUP($B19,Water!$B$2:$L$235,11,FALSE)&amp;"")=1,(VLOOKUP($B19,Water!$B$2:$L$235,11,FALSE)),"")</f>
        <v/>
      </c>
      <c r="D19" s="29" t="str">
        <f>IF(COUNT(VLOOKUP($B19,Food!$B$2:$K$236,10,FALSE)&amp;"")=1,VLOOKUP($B19,Food!$B$2:$K$236,10,FALSE),"")</f>
        <v/>
      </c>
      <c r="E19" s="29" t="str">
        <f>IF(COUNT(VLOOKUP($B19,Housing!$B$2:$L$236,11,FALSE)&amp;"")=1,VLOOKUP($B19,Housing!$B$2:$L$236,11,FALSE),"")</f>
        <v/>
      </c>
      <c r="F19" s="29" t="str">
        <f>IF(COUNT(VLOOKUP($B19,Employment!$B$2:$M$236,12,FALSE)&amp;"")=1,VLOOKUP($B19,Employment!$B$2:$M$236,12,FALSE),"")</f>
        <v/>
      </c>
      <c r="G19" s="29" t="str">
        <f>IF(COUNT(VLOOKUP($B19,Education!$B$2:$L$236,11,FALSE)&amp;"")=1,VLOOKUP($B19,Education!$B$2:$L$236,11,FALSE),"")</f>
        <v/>
      </c>
      <c r="H19" s="29" t="str">
        <f>IF(COUNT(VLOOKUP($B19,Gender!$B$2:$K$236,10,FALSE)&amp;"")=1,VLOOKUP($B19,Gender!$B$2:$K$236,10,FALSE),"")</f>
        <v/>
      </c>
      <c r="I19" s="29" t="str">
        <f>IF(COUNT(VLOOKUP($B19,'Religious Freedom'!$B$2:$K$200,10,FALSE)&amp;"")=1,VLOOKUP($B19,'Religious Freedom'!$B$2:$K$200,10,FALSE),"")</f>
        <v/>
      </c>
    </row>
    <row r="20" ht="14.25" customHeight="1">
      <c r="A20" s="22" t="s">
        <v>35</v>
      </c>
      <c r="B20" s="22" t="s">
        <v>36</v>
      </c>
      <c r="C20" s="29" t="str">
        <f>IF(COUNT(VLOOKUP($B20,Water!$B$2:$L$235,11,FALSE)&amp;"")=1,(VLOOKUP($B20,Water!$B$2:$L$235,11,FALSE)),"")</f>
        <v/>
      </c>
      <c r="D20" s="29" t="str">
        <f>IF(COUNT(VLOOKUP($B20,Food!$B$2:$K$236,10,FALSE)&amp;"")=1,VLOOKUP($B20,Food!$B$2:$K$236,10,FALSE),"")</f>
        <v/>
      </c>
      <c r="E20" s="29" t="str">
        <f>IF(COUNT(VLOOKUP($B20,Housing!$B$2:$L$236,11,FALSE)&amp;"")=1,VLOOKUP($B20,Housing!$B$2:$L$236,11,FALSE),"")</f>
        <v/>
      </c>
      <c r="F20" s="29" t="str">
        <f>IF(COUNT(VLOOKUP($B20,Employment!$B$2:$M$236,12,FALSE)&amp;"")=1,VLOOKUP($B20,Employment!$B$2:$M$236,12,FALSE),"")</f>
        <v/>
      </c>
      <c r="G20" s="29" t="str">
        <f>IF(COUNT(VLOOKUP($B20,Education!$B$2:$L$236,11,FALSE)&amp;"")=1,VLOOKUP($B20,Education!$B$2:$L$236,11,FALSE),"")</f>
        <v/>
      </c>
      <c r="H20" s="29" t="str">
        <f>IF(COUNT(VLOOKUP($B20,Gender!$B$2:$K$236,10,FALSE)&amp;"")=1,VLOOKUP($B20,Gender!$B$2:$K$236,10,FALSE),"")</f>
        <v/>
      </c>
      <c r="I20" s="29" t="str">
        <f>IF(COUNT(VLOOKUP($B20,'Religious Freedom'!$B$2:$K$200,10,FALSE)&amp;"")=1,VLOOKUP($B20,'Religious Freedom'!$B$2:$K$200,10,FALSE),"")</f>
        <v/>
      </c>
    </row>
    <row r="21" ht="14.25" customHeight="1">
      <c r="A21" s="22" t="s">
        <v>37</v>
      </c>
      <c r="B21" s="22" t="s">
        <v>38</v>
      </c>
      <c r="C21" s="29" t="str">
        <f>IF(COUNT(VLOOKUP($B21,Water!$B$2:$L$235,11,FALSE)&amp;"")=1,(VLOOKUP($B21,Water!$B$2:$L$235,11,FALSE)),"")</f>
        <v/>
      </c>
      <c r="D21" s="29" t="str">
        <f>IF(COUNT(VLOOKUP($B21,Food!$B$2:$K$236,10,FALSE)&amp;"")=1,VLOOKUP($B21,Food!$B$2:$K$236,10,FALSE),"")</f>
        <v/>
      </c>
      <c r="E21" s="29" t="str">
        <f>IF(COUNT(VLOOKUP($B21,Housing!$B$2:$L$236,11,FALSE)&amp;"")=1,VLOOKUP($B21,Housing!$B$2:$L$236,11,FALSE),"")</f>
        <v/>
      </c>
      <c r="F21" s="29" t="str">
        <f>IF(COUNT(VLOOKUP($B21,Employment!$B$2:$M$236,12,FALSE)&amp;"")=1,VLOOKUP($B21,Employment!$B$2:$M$236,12,FALSE),"")</f>
        <v/>
      </c>
      <c r="G21" s="29" t="str">
        <f>IF(COUNT(VLOOKUP($B21,Education!$B$2:$L$236,11,FALSE)&amp;"")=1,VLOOKUP($B21,Education!$B$2:$L$236,11,FALSE),"")</f>
        <v/>
      </c>
      <c r="H21" s="29" t="str">
        <f>IF(COUNT(VLOOKUP($B21,Gender!$B$2:$K$236,10,FALSE)&amp;"")=1,VLOOKUP($B21,Gender!$B$2:$K$236,10,FALSE),"")</f>
        <v/>
      </c>
      <c r="I21" s="29" t="str">
        <f>IF(COUNT(VLOOKUP($B21,'Religious Freedom'!$B$2:$K$200,10,FALSE)&amp;"")=1,VLOOKUP($B21,'Religious Freedom'!$B$2:$K$200,10,FALSE),"")</f>
        <v/>
      </c>
    </row>
    <row r="22" ht="14.25" customHeight="1">
      <c r="A22" s="22" t="s">
        <v>39</v>
      </c>
      <c r="B22" s="22" t="s">
        <v>40</v>
      </c>
      <c r="C22" s="29" t="str">
        <f>IF(COUNT(VLOOKUP($B22,Water!$B$2:$L$235,11,FALSE)&amp;"")=1,(VLOOKUP($B22,Water!$B$2:$L$235,11,FALSE)),"")</f>
        <v/>
      </c>
      <c r="D22" s="29" t="str">
        <f>IF(COUNT(VLOOKUP($B22,Food!$B$2:$K$236,10,FALSE)&amp;"")=1,VLOOKUP($B22,Food!$B$2:$K$236,10,FALSE),"")</f>
        <v/>
      </c>
      <c r="E22" s="29" t="str">
        <f>IF(COUNT(VLOOKUP($B22,Housing!$B$2:$L$236,11,FALSE)&amp;"")=1,VLOOKUP($B22,Housing!$B$2:$L$236,11,FALSE),"")</f>
        <v/>
      </c>
      <c r="F22" s="29" t="str">
        <f>IF(COUNT(VLOOKUP($B22,Employment!$B$2:$M$236,12,FALSE)&amp;"")=1,VLOOKUP($B22,Employment!$B$2:$M$236,12,FALSE),"")</f>
        <v/>
      </c>
      <c r="G22" s="29" t="str">
        <f>IF(COUNT(VLOOKUP($B22,Education!$B$2:$L$236,11,FALSE)&amp;"")=1,VLOOKUP($B22,Education!$B$2:$L$236,11,FALSE),"")</f>
        <v/>
      </c>
      <c r="H22" s="29" t="str">
        <f>IF(COUNT(VLOOKUP($B22,Gender!$B$2:$K$236,10,FALSE)&amp;"")=1,VLOOKUP($B22,Gender!$B$2:$K$236,10,FALSE),"")</f>
        <v/>
      </c>
      <c r="I22" s="29" t="str">
        <f>IF(COUNT(VLOOKUP($B22,'Religious Freedom'!$B$2:$K$200,10,FALSE)&amp;"")=1,VLOOKUP($B22,'Religious Freedom'!$B$2:$K$200,10,FALSE),"")</f>
        <v/>
      </c>
    </row>
    <row r="23" ht="14.25" customHeight="1">
      <c r="A23" s="22" t="s">
        <v>41</v>
      </c>
      <c r="B23" s="22" t="s">
        <v>42</v>
      </c>
      <c r="C23" s="29" t="str">
        <f>IF(COUNT(VLOOKUP($B23,Water!$B$2:$L$235,11,FALSE)&amp;"")=1,(VLOOKUP($B23,Water!$B$2:$L$235,11,FALSE)),"")</f>
        <v/>
      </c>
      <c r="D23" s="29" t="str">
        <f>IF(COUNT(VLOOKUP($B23,Food!$B$2:$K$236,10,FALSE)&amp;"")=1,VLOOKUP($B23,Food!$B$2:$K$236,10,FALSE),"")</f>
        <v/>
      </c>
      <c r="E23" s="29" t="str">
        <f>IF(COUNT(VLOOKUP($B23,Housing!$B$2:$L$236,11,FALSE)&amp;"")=1,VLOOKUP($B23,Housing!$B$2:$L$236,11,FALSE),"")</f>
        <v/>
      </c>
      <c r="F23" s="29" t="str">
        <f>IF(COUNT(VLOOKUP($B23,Employment!$B$2:$M$236,12,FALSE)&amp;"")=1,VLOOKUP($B23,Employment!$B$2:$M$236,12,FALSE),"")</f>
        <v/>
      </c>
      <c r="G23" s="29" t="str">
        <f>IF(COUNT(VLOOKUP($B23,Education!$B$2:$L$236,11,FALSE)&amp;"")=1,VLOOKUP($B23,Education!$B$2:$L$236,11,FALSE),"")</f>
        <v/>
      </c>
      <c r="H23" s="29" t="str">
        <f>IF(COUNT(VLOOKUP($B23,Gender!$B$2:$K$236,10,FALSE)&amp;"")=1,VLOOKUP($B23,Gender!$B$2:$K$236,10,FALSE),"")</f>
        <v/>
      </c>
      <c r="I23" s="29" t="str">
        <f>IF(COUNT(VLOOKUP($B23,'Religious Freedom'!$B$2:$K$200,10,FALSE)&amp;"")=1,VLOOKUP($B23,'Religious Freedom'!$B$2:$K$200,10,FALSE),"")</f>
        <v/>
      </c>
    </row>
    <row r="24" ht="14.25" customHeight="1">
      <c r="A24" s="22" t="s">
        <v>43</v>
      </c>
      <c r="B24" s="22" t="s">
        <v>44</v>
      </c>
      <c r="C24" s="29" t="str">
        <f>IF(COUNT(VLOOKUP($B24,Water!$B$2:$L$235,11,FALSE)&amp;"")=1,(VLOOKUP($B24,Water!$B$2:$L$235,11,FALSE)),"")</f>
        <v/>
      </c>
      <c r="D24" s="29" t="str">
        <f>IF(COUNT(VLOOKUP($B24,Food!$B$2:$K$236,10,FALSE)&amp;"")=1,VLOOKUP($B24,Food!$B$2:$K$236,10,FALSE),"")</f>
        <v/>
      </c>
      <c r="E24" s="29" t="str">
        <f>IF(COUNT(VLOOKUP($B24,Housing!$B$2:$L$236,11,FALSE)&amp;"")=1,VLOOKUP($B24,Housing!$B$2:$L$236,11,FALSE),"")</f>
        <v/>
      </c>
      <c r="F24" s="29" t="str">
        <f>IF(COUNT(VLOOKUP($B24,Employment!$B$2:$M$236,12,FALSE)&amp;"")=1,VLOOKUP($B24,Employment!$B$2:$M$236,12,FALSE),"")</f>
        <v/>
      </c>
      <c r="G24" s="29" t="str">
        <f>IF(COUNT(VLOOKUP($B24,Education!$B$2:$L$236,11,FALSE)&amp;"")=1,VLOOKUP($B24,Education!$B$2:$L$236,11,FALSE),"")</f>
        <v/>
      </c>
      <c r="H24" s="29" t="str">
        <f>IF(COUNT(VLOOKUP($B24,Gender!$B$2:$K$236,10,FALSE)&amp;"")=1,VLOOKUP($B24,Gender!$B$2:$K$236,10,FALSE),"")</f>
        <v/>
      </c>
      <c r="I24" s="29" t="str">
        <f>IF(COUNT(VLOOKUP($B24,'Religious Freedom'!$B$2:$K$200,10,FALSE)&amp;"")=1,VLOOKUP($B24,'Religious Freedom'!$B$2:$K$200,10,FALSE),"")</f>
        <v/>
      </c>
    </row>
    <row r="25" ht="14.25" customHeight="1">
      <c r="A25" s="22" t="s">
        <v>45</v>
      </c>
      <c r="B25" s="22" t="s">
        <v>46</v>
      </c>
      <c r="C25" s="29" t="str">
        <f>IF(COUNT(VLOOKUP($B25,Water!$B$2:$L$235,11,FALSE)&amp;"")=1,(VLOOKUP($B25,Water!$B$2:$L$235,11,FALSE)),"")</f>
        <v/>
      </c>
      <c r="D25" s="29" t="str">
        <f>IF(COUNT(VLOOKUP($B25,Food!$B$2:$K$236,10,FALSE)&amp;"")=1,VLOOKUP($B25,Food!$B$2:$K$236,10,FALSE),"")</f>
        <v/>
      </c>
      <c r="E25" s="29" t="str">
        <f>IF(COUNT(VLOOKUP($B25,Housing!$B$2:$L$236,11,FALSE)&amp;"")=1,VLOOKUP($B25,Housing!$B$2:$L$236,11,FALSE),"")</f>
        <v/>
      </c>
      <c r="F25" s="29" t="str">
        <f>IF(COUNT(VLOOKUP($B25,Employment!$B$2:$M$236,12,FALSE)&amp;"")=1,VLOOKUP($B25,Employment!$B$2:$M$236,12,FALSE),"")</f>
        <v/>
      </c>
      <c r="G25" s="29" t="str">
        <f>IF(COUNT(VLOOKUP($B25,Education!$B$2:$L$236,11,FALSE)&amp;"")=1,VLOOKUP($B25,Education!$B$2:$L$236,11,FALSE),"")</f>
        <v/>
      </c>
      <c r="H25" s="29" t="str">
        <f>IF(COUNT(VLOOKUP($B25,Gender!$B$2:$K$236,10,FALSE)&amp;"")=1,VLOOKUP($B25,Gender!$B$2:$K$236,10,FALSE),"")</f>
        <v/>
      </c>
      <c r="I25" s="29" t="str">
        <f>IF(COUNT(VLOOKUP($B25,'Religious Freedom'!$B$2:$K$200,10,FALSE)&amp;"")=1,VLOOKUP($B25,'Religious Freedom'!$B$2:$K$200,10,FALSE),"")</f>
        <v/>
      </c>
    </row>
    <row r="26" ht="14.25" customHeight="1">
      <c r="A26" s="22" t="s">
        <v>47</v>
      </c>
      <c r="B26" s="22" t="s">
        <v>48</v>
      </c>
      <c r="C26" s="29" t="str">
        <f>IF(COUNT(VLOOKUP($B26,Water!$B$2:$L$235,11,FALSE)&amp;"")=1,(VLOOKUP($B26,Water!$B$2:$L$235,11,FALSE)),"")</f>
        <v/>
      </c>
      <c r="D26" s="29" t="str">
        <f>IF(COUNT(VLOOKUP($B26,Food!$B$2:$K$236,10,FALSE)&amp;"")=1,VLOOKUP($B26,Food!$B$2:$K$236,10,FALSE),"")</f>
        <v/>
      </c>
      <c r="E26" s="29" t="str">
        <f>IF(COUNT(VLOOKUP($B26,Housing!$B$2:$L$236,11,FALSE)&amp;"")=1,VLOOKUP($B26,Housing!$B$2:$L$236,11,FALSE),"")</f>
        <v/>
      </c>
      <c r="F26" s="29" t="str">
        <f>IF(COUNT(VLOOKUP($B26,Employment!$B$2:$M$236,12,FALSE)&amp;"")=1,VLOOKUP($B26,Employment!$B$2:$M$236,12,FALSE),"")</f>
        <v/>
      </c>
      <c r="G26" s="29" t="str">
        <f>IF(COUNT(VLOOKUP($B26,Education!$B$2:$L$236,11,FALSE)&amp;"")=1,VLOOKUP($B26,Education!$B$2:$L$236,11,FALSE),"")</f>
        <v/>
      </c>
      <c r="H26" s="29" t="str">
        <f>IF(COUNT(VLOOKUP($B26,Gender!$B$2:$K$236,10,FALSE)&amp;"")=1,VLOOKUP($B26,Gender!$B$2:$K$236,10,FALSE),"")</f>
        <v/>
      </c>
      <c r="I26" s="29" t="str">
        <f>IF(COUNT(VLOOKUP($B26,'Religious Freedom'!$B$2:$K$200,10,FALSE)&amp;"")=1,VLOOKUP($B26,'Religious Freedom'!$B$2:$K$200,10,FALSE),"")</f>
        <v/>
      </c>
    </row>
    <row r="27" ht="14.25" customHeight="1">
      <c r="A27" s="22" t="s">
        <v>49</v>
      </c>
      <c r="B27" s="22" t="s">
        <v>50</v>
      </c>
      <c r="C27" s="29" t="str">
        <f>IF(COUNT(VLOOKUP($B27,Water!$B$2:$L$235,11,FALSE)&amp;"")=1,(VLOOKUP($B27,Water!$B$2:$L$235,11,FALSE)),"")</f>
        <v/>
      </c>
      <c r="D27" s="29" t="str">
        <f>IF(COUNT(VLOOKUP($B27,Food!$B$2:$K$236,10,FALSE)&amp;"")=1,VLOOKUP($B27,Food!$B$2:$K$236,10,FALSE),"")</f>
        <v/>
      </c>
      <c r="E27" s="29" t="str">
        <f>IF(COUNT(VLOOKUP($B27,Housing!$B$2:$L$236,11,FALSE)&amp;"")=1,VLOOKUP($B27,Housing!$B$2:$L$236,11,FALSE),"")</f>
        <v/>
      </c>
      <c r="F27" s="29" t="str">
        <f>IF(COUNT(VLOOKUP($B27,Employment!$B$2:$M$236,12,FALSE)&amp;"")=1,VLOOKUP($B27,Employment!$B$2:$M$236,12,FALSE),"")</f>
        <v/>
      </c>
      <c r="G27" s="29" t="str">
        <f>IF(COUNT(VLOOKUP($B27,Education!$B$2:$L$236,11,FALSE)&amp;"")=1,VLOOKUP($B27,Education!$B$2:$L$236,11,FALSE),"")</f>
        <v/>
      </c>
      <c r="H27" s="29" t="str">
        <f>IF(COUNT(VLOOKUP($B27,Gender!$B$2:$K$236,10,FALSE)&amp;"")=1,VLOOKUP($B27,Gender!$B$2:$K$236,10,FALSE),"")</f>
        <v/>
      </c>
      <c r="I27" s="29" t="str">
        <f>IF(COUNT(VLOOKUP($B27,'Religious Freedom'!$B$2:$K$200,10,FALSE)&amp;"")=1,VLOOKUP($B27,'Religious Freedom'!$B$2:$K$200,10,FALSE),"")</f>
        <v/>
      </c>
    </row>
    <row r="28" ht="14.25" customHeight="1">
      <c r="A28" s="22" t="s">
        <v>51</v>
      </c>
      <c r="B28" s="22" t="s">
        <v>52</v>
      </c>
      <c r="C28" s="29" t="str">
        <f>IF(COUNT(VLOOKUP($B28,Water!$B$2:$L$235,11,FALSE)&amp;"")=1,(VLOOKUP($B28,Water!$B$2:$L$235,11,FALSE)),"")</f>
        <v/>
      </c>
      <c r="D28" s="29" t="str">
        <f>IF(COUNT(VLOOKUP($B28,Food!$B$2:$K$236,10,FALSE)&amp;"")=1,VLOOKUP($B28,Food!$B$2:$K$236,10,FALSE),"")</f>
        <v/>
      </c>
      <c r="E28" s="29" t="str">
        <f>IF(COUNT(VLOOKUP($B28,Housing!$B$2:$L$236,11,FALSE)&amp;"")=1,VLOOKUP($B28,Housing!$B$2:$L$236,11,FALSE),"")</f>
        <v/>
      </c>
      <c r="F28" s="29" t="str">
        <f>IF(COUNT(VLOOKUP($B28,Employment!$B$2:$M$236,12,FALSE)&amp;"")=1,VLOOKUP($B28,Employment!$B$2:$M$236,12,FALSE),"")</f>
        <v/>
      </c>
      <c r="G28" s="29" t="str">
        <f>IF(COUNT(VLOOKUP($B28,Education!$B$2:$L$236,11,FALSE)&amp;"")=1,VLOOKUP($B28,Education!$B$2:$L$236,11,FALSE),"")</f>
        <v/>
      </c>
      <c r="H28" s="29" t="str">
        <f>IF(COUNT(VLOOKUP($B28,Gender!$B$2:$K$236,10,FALSE)&amp;"")=1,VLOOKUP($B28,Gender!$B$2:$K$236,10,FALSE),"")</f>
        <v/>
      </c>
      <c r="I28" s="29" t="str">
        <f>IF(COUNT(VLOOKUP($B28,'Religious Freedom'!$B$2:$K$200,10,FALSE)&amp;"")=1,VLOOKUP($B28,'Religious Freedom'!$B$2:$K$200,10,FALSE),"")</f>
        <v/>
      </c>
    </row>
    <row r="29" ht="14.25" customHeight="1">
      <c r="A29" s="22" t="s">
        <v>53</v>
      </c>
      <c r="B29" s="22" t="s">
        <v>54</v>
      </c>
      <c r="C29" s="29" t="str">
        <f>IF(COUNT(VLOOKUP($B29,Water!$B$2:$L$235,11,FALSE)&amp;"")=1,(VLOOKUP($B29,Water!$B$2:$L$235,11,FALSE)),"")</f>
        <v/>
      </c>
      <c r="D29" s="29" t="str">
        <f>IF(COUNT(VLOOKUP($B29,Food!$B$2:$K$236,10,FALSE)&amp;"")=1,VLOOKUP($B29,Food!$B$2:$K$236,10,FALSE),"")</f>
        <v/>
      </c>
      <c r="E29" s="29" t="str">
        <f>IF(COUNT(VLOOKUP($B29,Housing!$B$2:$L$236,11,FALSE)&amp;"")=1,VLOOKUP($B29,Housing!$B$2:$L$236,11,FALSE),"")</f>
        <v/>
      </c>
      <c r="F29" s="29" t="str">
        <f>IF(COUNT(VLOOKUP($B29,Employment!$B$2:$M$236,12,FALSE)&amp;"")=1,VLOOKUP($B29,Employment!$B$2:$M$236,12,FALSE),"")</f>
        <v/>
      </c>
      <c r="G29" s="29" t="str">
        <f>IF(COUNT(VLOOKUP($B29,Education!$B$2:$L$236,11,FALSE)&amp;"")=1,VLOOKUP($B29,Education!$B$2:$L$236,11,FALSE),"")</f>
        <v/>
      </c>
      <c r="H29" s="29" t="str">
        <f>IF(COUNT(VLOOKUP($B29,Gender!$B$2:$K$236,10,FALSE)&amp;"")=1,VLOOKUP($B29,Gender!$B$2:$K$236,10,FALSE),"")</f>
        <v/>
      </c>
      <c r="I29" s="29" t="str">
        <f>IF(COUNT(VLOOKUP($B29,'Religious Freedom'!$B$2:$K$200,10,FALSE)&amp;"")=1,VLOOKUP($B29,'Religious Freedom'!$B$2:$K$200,10,FALSE),"")</f>
        <v/>
      </c>
    </row>
    <row r="30" ht="14.25" customHeight="1">
      <c r="A30" s="22" t="s">
        <v>55</v>
      </c>
      <c r="B30" s="22" t="s">
        <v>56</v>
      </c>
      <c r="C30" s="29" t="str">
        <f>IF(COUNT(VLOOKUP($B30,Water!$B$2:$L$235,11,FALSE)&amp;"")=1,(VLOOKUP($B30,Water!$B$2:$L$235,11,FALSE)),"")</f>
        <v/>
      </c>
      <c r="D30" s="29" t="str">
        <f>IF(COUNT(VLOOKUP($B30,Food!$B$2:$K$236,10,FALSE)&amp;"")=1,VLOOKUP($B30,Food!$B$2:$K$236,10,FALSE),"")</f>
        <v/>
      </c>
      <c r="E30" s="29" t="str">
        <f>IF(COUNT(VLOOKUP($B30,Housing!$B$2:$L$236,11,FALSE)&amp;"")=1,VLOOKUP($B30,Housing!$B$2:$L$236,11,FALSE),"")</f>
        <v/>
      </c>
      <c r="F30" s="29" t="str">
        <f>IF(COUNT(VLOOKUP($B30,Employment!$B$2:$M$236,12,FALSE)&amp;"")=1,VLOOKUP($B30,Employment!$B$2:$M$236,12,FALSE),"")</f>
        <v/>
      </c>
      <c r="G30" s="29" t="str">
        <f>IF(COUNT(VLOOKUP($B30,Education!$B$2:$L$236,11,FALSE)&amp;"")=1,VLOOKUP($B30,Education!$B$2:$L$236,11,FALSE),"")</f>
        <v/>
      </c>
      <c r="H30" s="29" t="str">
        <f>IF(COUNT(VLOOKUP($B30,Gender!$B$2:$K$236,10,FALSE)&amp;"")=1,VLOOKUP($B30,Gender!$B$2:$K$236,10,FALSE),"")</f>
        <v/>
      </c>
      <c r="I30" s="29" t="str">
        <f>IF(COUNT(VLOOKUP($B30,'Religious Freedom'!$B$2:$K$200,10,FALSE)&amp;"")=1,VLOOKUP($B30,'Religious Freedom'!$B$2:$K$200,10,FALSE),"")</f>
        <v/>
      </c>
    </row>
    <row r="31" ht="14.25" customHeight="1">
      <c r="A31" s="22" t="s">
        <v>57</v>
      </c>
      <c r="B31" s="22" t="s">
        <v>58</v>
      </c>
      <c r="C31" s="29" t="str">
        <f>IF(COUNT(VLOOKUP($B31,Water!$B$2:$L$235,11,FALSE)&amp;"")=1,(VLOOKUP($B31,Water!$B$2:$L$235,11,FALSE)),"")</f>
        <v/>
      </c>
      <c r="D31" s="29" t="str">
        <f>IF(COUNT(VLOOKUP($B31,Food!$B$2:$K$236,10,FALSE)&amp;"")=1,VLOOKUP($B31,Food!$B$2:$K$236,10,FALSE),"")</f>
        <v/>
      </c>
      <c r="E31" s="29" t="str">
        <f>IF(COUNT(VLOOKUP($B31,Housing!$B$2:$L$236,11,FALSE)&amp;"")=1,VLOOKUP($B31,Housing!$B$2:$L$236,11,FALSE),"")</f>
        <v/>
      </c>
      <c r="F31" s="29" t="str">
        <f>IF(COUNT(VLOOKUP($B31,Employment!$B$2:$M$236,12,FALSE)&amp;"")=1,VLOOKUP($B31,Employment!$B$2:$M$236,12,FALSE),"")</f>
        <v/>
      </c>
      <c r="G31" s="29" t="str">
        <f>IF(COUNT(VLOOKUP($B31,Education!$B$2:$L$236,11,FALSE)&amp;"")=1,VLOOKUP($B31,Education!$B$2:$L$236,11,FALSE),"")</f>
        <v/>
      </c>
      <c r="H31" s="29" t="str">
        <f>IF(COUNT(VLOOKUP($B31,Gender!$B$2:$K$236,10,FALSE)&amp;"")=1,VLOOKUP($B31,Gender!$B$2:$K$236,10,FALSE),"")</f>
        <v/>
      </c>
      <c r="I31" s="29" t="str">
        <f>IF(COUNT(VLOOKUP($B31,'Religious Freedom'!$B$2:$K$200,10,FALSE)&amp;"")=1,VLOOKUP($B31,'Religious Freedom'!$B$2:$K$200,10,FALSE),"")</f>
        <v/>
      </c>
    </row>
    <row r="32" ht="14.25" customHeight="1">
      <c r="A32" s="22" t="s">
        <v>59</v>
      </c>
      <c r="B32" s="22" t="s">
        <v>60</v>
      </c>
      <c r="C32" s="29" t="str">
        <f>IF(COUNT(VLOOKUP($B32,Water!$B$2:$L$235,11,FALSE)&amp;"")=1,(VLOOKUP($B32,Water!$B$2:$L$235,11,FALSE)),"")</f>
        <v/>
      </c>
      <c r="D32" s="29" t="str">
        <f>IF(COUNT(VLOOKUP($B32,Food!$B$2:$K$236,10,FALSE)&amp;"")=1,VLOOKUP($B32,Food!$B$2:$K$236,10,FALSE),"")</f>
        <v/>
      </c>
      <c r="E32" s="29" t="str">
        <f>IF(COUNT(VLOOKUP($B32,Housing!$B$2:$L$236,11,FALSE)&amp;"")=1,VLOOKUP($B32,Housing!$B$2:$L$236,11,FALSE),"")</f>
        <v/>
      </c>
      <c r="F32" s="29" t="str">
        <f>IF(COUNT(VLOOKUP($B32,Employment!$B$2:$M$236,12,FALSE)&amp;"")=1,VLOOKUP($B32,Employment!$B$2:$M$236,12,FALSE),"")</f>
        <v/>
      </c>
      <c r="G32" s="29" t="str">
        <f>IF(COUNT(VLOOKUP($B32,Education!$B$2:$L$236,11,FALSE)&amp;"")=1,VLOOKUP($B32,Education!$B$2:$L$236,11,FALSE),"")</f>
        <v/>
      </c>
      <c r="H32" s="29" t="str">
        <f>IF(COUNT(VLOOKUP($B32,Gender!$B$2:$K$236,10,FALSE)&amp;"")=1,VLOOKUP($B32,Gender!$B$2:$K$236,10,FALSE),"")</f>
        <v/>
      </c>
      <c r="I32" s="29" t="str">
        <f>IF(COUNT(VLOOKUP($B32,'Religious Freedom'!$B$2:$K$200,10,FALSE)&amp;"")=1,VLOOKUP($B32,'Religious Freedom'!$B$2:$K$200,10,FALSE),"")</f>
        <v/>
      </c>
    </row>
    <row r="33" ht="14.25" customHeight="1">
      <c r="A33" s="22" t="s">
        <v>61</v>
      </c>
      <c r="B33" s="22" t="s">
        <v>62</v>
      </c>
      <c r="C33" s="29" t="str">
        <f>IF(COUNT(VLOOKUP($B33,Water!$B$2:$L$235,11,FALSE)&amp;"")=1,(VLOOKUP($B33,Water!$B$2:$L$235,11,FALSE)),"")</f>
        <v/>
      </c>
      <c r="D33" s="29" t="str">
        <f>IF(COUNT(VLOOKUP($B33,Food!$B$2:$K$236,10,FALSE)&amp;"")=1,VLOOKUP($B33,Food!$B$2:$K$236,10,FALSE),"")</f>
        <v/>
      </c>
      <c r="E33" s="29" t="str">
        <f>IF(COUNT(VLOOKUP($B33,Housing!$B$2:$L$236,11,FALSE)&amp;"")=1,VLOOKUP($B33,Housing!$B$2:$L$236,11,FALSE),"")</f>
        <v/>
      </c>
      <c r="F33" s="29" t="str">
        <f>IF(COUNT(VLOOKUP($B33,Employment!$B$2:$M$236,12,FALSE)&amp;"")=1,VLOOKUP($B33,Employment!$B$2:$M$236,12,FALSE),"")</f>
        <v/>
      </c>
      <c r="G33" s="29" t="str">
        <f>IF(COUNT(VLOOKUP($B33,Education!$B$2:$L$236,11,FALSE)&amp;"")=1,VLOOKUP($B33,Education!$B$2:$L$236,11,FALSE),"")</f>
        <v/>
      </c>
      <c r="H33" s="29" t="str">
        <f>IF(COUNT(VLOOKUP($B33,Gender!$B$2:$K$236,10,FALSE)&amp;"")=1,VLOOKUP($B33,Gender!$B$2:$K$236,10,FALSE),"")</f>
        <v/>
      </c>
      <c r="I33" s="29" t="str">
        <f>IF(COUNT(VLOOKUP($B33,'Religious Freedom'!$B$2:$K$200,10,FALSE)&amp;"")=1,VLOOKUP($B33,'Religious Freedom'!$B$2:$K$200,10,FALSE),"")</f>
        <v/>
      </c>
    </row>
    <row r="34" ht="14.25" customHeight="1">
      <c r="A34" s="22" t="s">
        <v>63</v>
      </c>
      <c r="B34" s="22" t="s">
        <v>64</v>
      </c>
      <c r="C34" s="29" t="str">
        <f>IF(COUNT(VLOOKUP($B34,Water!$B$2:$L$235,11,FALSE)&amp;"")=1,(VLOOKUP($B34,Water!$B$2:$L$235,11,FALSE)),"")</f>
        <v/>
      </c>
      <c r="D34" s="29" t="str">
        <f>IF(COUNT(VLOOKUP($B34,Food!$B$2:$K$236,10,FALSE)&amp;"")=1,VLOOKUP($B34,Food!$B$2:$K$236,10,FALSE),"")</f>
        <v/>
      </c>
      <c r="E34" s="29" t="str">
        <f>IF(COUNT(VLOOKUP($B34,Housing!$B$2:$L$236,11,FALSE)&amp;"")=1,VLOOKUP($B34,Housing!$B$2:$L$236,11,FALSE),"")</f>
        <v/>
      </c>
      <c r="F34" s="29" t="str">
        <f>IF(COUNT(VLOOKUP($B34,Employment!$B$2:$M$236,12,FALSE)&amp;"")=1,VLOOKUP($B34,Employment!$B$2:$M$236,12,FALSE),"")</f>
        <v/>
      </c>
      <c r="G34" s="29" t="str">
        <f>IF(COUNT(VLOOKUP($B34,Education!$B$2:$L$236,11,FALSE)&amp;"")=1,VLOOKUP($B34,Education!$B$2:$L$236,11,FALSE),"")</f>
        <v/>
      </c>
      <c r="H34" s="29" t="str">
        <f>IF(COUNT(VLOOKUP($B34,Gender!$B$2:$K$236,10,FALSE)&amp;"")=1,VLOOKUP($B34,Gender!$B$2:$K$236,10,FALSE),"")</f>
        <v/>
      </c>
      <c r="I34" s="29" t="str">
        <f>IF(COUNT(VLOOKUP($B34,'Religious Freedom'!$B$2:$K$200,10,FALSE)&amp;"")=1,VLOOKUP($B34,'Religious Freedom'!$B$2:$K$200,10,FALSE),"")</f>
        <v/>
      </c>
    </row>
    <row r="35" ht="14.25" customHeight="1">
      <c r="A35" s="22" t="s">
        <v>65</v>
      </c>
      <c r="B35" s="22" t="s">
        <v>66</v>
      </c>
      <c r="C35" s="29" t="str">
        <f>IF(COUNT(VLOOKUP($B35,Water!$B$2:$L$235,11,FALSE)&amp;"")=1,(VLOOKUP($B35,Water!$B$2:$L$235,11,FALSE)),"")</f>
        <v/>
      </c>
      <c r="D35" s="29" t="str">
        <f>IF(COUNT(VLOOKUP($B35,Food!$B$2:$K$236,10,FALSE)&amp;"")=1,VLOOKUP($B35,Food!$B$2:$K$236,10,FALSE),"")</f>
        <v/>
      </c>
      <c r="E35" s="29" t="str">
        <f>IF(COUNT(VLOOKUP($B35,Housing!$B$2:$L$236,11,FALSE)&amp;"")=1,VLOOKUP($B35,Housing!$B$2:$L$236,11,FALSE),"")</f>
        <v/>
      </c>
      <c r="F35" s="29" t="str">
        <f>IF(COUNT(VLOOKUP($B35,Employment!$B$2:$M$236,12,FALSE)&amp;"")=1,VLOOKUP($B35,Employment!$B$2:$M$236,12,FALSE),"")</f>
        <v/>
      </c>
      <c r="G35" s="29" t="str">
        <f>IF(COUNT(VLOOKUP($B35,Education!$B$2:$L$236,11,FALSE)&amp;"")=1,VLOOKUP($B35,Education!$B$2:$L$236,11,FALSE),"")</f>
        <v/>
      </c>
      <c r="H35" s="29" t="str">
        <f>IF(COUNT(VLOOKUP($B35,Gender!$B$2:$K$236,10,FALSE)&amp;"")=1,VLOOKUP($B35,Gender!$B$2:$K$236,10,FALSE),"")</f>
        <v/>
      </c>
      <c r="I35" s="29" t="str">
        <f>IF(COUNT(VLOOKUP($B35,'Religious Freedom'!$B$2:$K$200,10,FALSE)&amp;"")=1,VLOOKUP($B35,'Religious Freedom'!$B$2:$K$200,10,FALSE),"")</f>
        <v/>
      </c>
    </row>
    <row r="36" ht="14.25" customHeight="1">
      <c r="A36" s="22" t="s">
        <v>67</v>
      </c>
      <c r="B36" s="22" t="s">
        <v>68</v>
      </c>
      <c r="C36" s="29" t="str">
        <f>IF(COUNT(VLOOKUP($B36,Water!$B$2:$L$235,11,FALSE)&amp;"")=1,(VLOOKUP($B36,Water!$B$2:$L$235,11,FALSE)),"")</f>
        <v/>
      </c>
      <c r="D36" s="29" t="str">
        <f>IF(COUNT(VLOOKUP($B36,Food!$B$2:$K$236,10,FALSE)&amp;"")=1,VLOOKUP($B36,Food!$B$2:$K$236,10,FALSE),"")</f>
        <v/>
      </c>
      <c r="E36" s="29" t="str">
        <f>IF(COUNT(VLOOKUP($B36,Housing!$B$2:$L$236,11,FALSE)&amp;"")=1,VLOOKUP($B36,Housing!$B$2:$L$236,11,FALSE),"")</f>
        <v/>
      </c>
      <c r="F36" s="29" t="str">
        <f>IF(COUNT(VLOOKUP($B36,Employment!$B$2:$M$236,12,FALSE)&amp;"")=1,VLOOKUP($B36,Employment!$B$2:$M$236,12,FALSE),"")</f>
        <v/>
      </c>
      <c r="G36" s="29" t="str">
        <f>IF(COUNT(VLOOKUP($B36,Education!$B$2:$L$236,11,FALSE)&amp;"")=1,VLOOKUP($B36,Education!$B$2:$L$236,11,FALSE),"")</f>
        <v/>
      </c>
      <c r="H36" s="29" t="str">
        <f>IF(COUNT(VLOOKUP($B36,Gender!$B$2:$K$236,10,FALSE)&amp;"")=1,VLOOKUP($B36,Gender!$B$2:$K$236,10,FALSE),"")</f>
        <v/>
      </c>
      <c r="I36" s="29" t="str">
        <f>IF(COUNT(VLOOKUP($B36,'Religious Freedom'!$B$2:$K$200,10,FALSE)&amp;"")=1,VLOOKUP($B36,'Religious Freedom'!$B$2:$K$200,10,FALSE),"")</f>
        <v/>
      </c>
    </row>
    <row r="37" ht="14.25" customHeight="1">
      <c r="A37" s="22" t="s">
        <v>69</v>
      </c>
      <c r="B37" s="22" t="s">
        <v>70</v>
      </c>
      <c r="C37" s="29" t="str">
        <f>IF(COUNT(VLOOKUP($B37,Water!$B$2:$L$235,11,FALSE)&amp;"")=1,(VLOOKUP($B37,Water!$B$2:$L$235,11,FALSE)),"")</f>
        <v/>
      </c>
      <c r="D37" s="29" t="str">
        <f>IF(COUNT(VLOOKUP($B37,Food!$B$2:$K$236,10,FALSE)&amp;"")=1,VLOOKUP($B37,Food!$B$2:$K$236,10,FALSE),"")</f>
        <v/>
      </c>
      <c r="E37" s="29" t="str">
        <f>IF(COUNT(VLOOKUP($B37,Housing!$B$2:$L$236,11,FALSE)&amp;"")=1,VLOOKUP($B37,Housing!$B$2:$L$236,11,FALSE),"")</f>
        <v/>
      </c>
      <c r="F37" s="29" t="str">
        <f>IF(COUNT(VLOOKUP($B37,Employment!$B$2:$M$236,12,FALSE)&amp;"")=1,VLOOKUP($B37,Employment!$B$2:$M$236,12,FALSE),"")</f>
        <v/>
      </c>
      <c r="G37" s="29" t="str">
        <f>IF(COUNT(VLOOKUP($B37,Education!$B$2:$L$236,11,FALSE)&amp;"")=1,VLOOKUP($B37,Education!$B$2:$L$236,11,FALSE),"")</f>
        <v/>
      </c>
      <c r="H37" s="29" t="str">
        <f>IF(COUNT(VLOOKUP($B37,Gender!$B$2:$K$236,10,FALSE)&amp;"")=1,VLOOKUP($B37,Gender!$B$2:$K$236,10,FALSE),"")</f>
        <v/>
      </c>
      <c r="I37" s="29" t="str">
        <f>IF(COUNT(VLOOKUP($B37,'Religious Freedom'!$B$2:$K$200,10,FALSE)&amp;"")=1,VLOOKUP($B37,'Religious Freedom'!$B$2:$K$200,10,FALSE),"")</f>
        <v/>
      </c>
    </row>
    <row r="38" ht="14.25" customHeight="1">
      <c r="A38" s="22" t="s">
        <v>71</v>
      </c>
      <c r="B38" s="22" t="s">
        <v>72</v>
      </c>
      <c r="C38" s="29" t="str">
        <f>IF(COUNT(VLOOKUP($B38,Water!$B$2:$L$235,11,FALSE)&amp;"")=1,(VLOOKUP($B38,Water!$B$2:$L$235,11,FALSE)),"")</f>
        <v/>
      </c>
      <c r="D38" s="29" t="str">
        <f>IF(COUNT(VLOOKUP($B38,Food!$B$2:$K$236,10,FALSE)&amp;"")=1,VLOOKUP($B38,Food!$B$2:$K$236,10,FALSE),"")</f>
        <v/>
      </c>
      <c r="E38" s="29" t="str">
        <f>IF(COUNT(VLOOKUP($B38,Housing!$B$2:$L$236,11,FALSE)&amp;"")=1,VLOOKUP($B38,Housing!$B$2:$L$236,11,FALSE),"")</f>
        <v/>
      </c>
      <c r="F38" s="29" t="str">
        <f>IF(COUNT(VLOOKUP($B38,Employment!$B$2:$M$236,12,FALSE)&amp;"")=1,VLOOKUP($B38,Employment!$B$2:$M$236,12,FALSE),"")</f>
        <v/>
      </c>
      <c r="G38" s="29" t="str">
        <f>IF(COUNT(VLOOKUP($B38,Education!$B$2:$L$236,11,FALSE)&amp;"")=1,VLOOKUP($B38,Education!$B$2:$L$236,11,FALSE),"")</f>
        <v/>
      </c>
      <c r="H38" s="29" t="str">
        <f>IF(COUNT(VLOOKUP($B38,Gender!$B$2:$K$236,10,FALSE)&amp;"")=1,VLOOKUP($B38,Gender!$B$2:$K$236,10,FALSE),"")</f>
        <v/>
      </c>
      <c r="I38" s="29" t="str">
        <f>IF(COUNT(VLOOKUP($B38,'Religious Freedom'!$B$2:$K$200,10,FALSE)&amp;"")=1,VLOOKUP($B38,'Religious Freedom'!$B$2:$K$200,10,FALSE),"")</f>
        <v/>
      </c>
    </row>
    <row r="39" ht="14.25" customHeight="1">
      <c r="A39" s="22" t="s">
        <v>73</v>
      </c>
      <c r="B39" s="22" t="s">
        <v>74</v>
      </c>
      <c r="C39" s="29" t="str">
        <f>IF(COUNT(VLOOKUP($B39,Water!$B$2:$L$235,11,FALSE)&amp;"")=1,(VLOOKUP($B39,Water!$B$2:$L$235,11,FALSE)),"")</f>
        <v/>
      </c>
      <c r="D39" s="29" t="str">
        <f>IF(COUNT(VLOOKUP($B39,Food!$B$2:$K$236,10,FALSE)&amp;"")=1,VLOOKUP($B39,Food!$B$2:$K$236,10,FALSE),"")</f>
        <v/>
      </c>
      <c r="E39" s="29" t="str">
        <f>IF(COUNT(VLOOKUP($B39,Housing!$B$2:$L$236,11,FALSE)&amp;"")=1,VLOOKUP($B39,Housing!$B$2:$L$236,11,FALSE),"")</f>
        <v/>
      </c>
      <c r="F39" s="29" t="str">
        <f>IF(COUNT(VLOOKUP($B39,Employment!$B$2:$M$236,12,FALSE)&amp;"")=1,VLOOKUP($B39,Employment!$B$2:$M$236,12,FALSE),"")</f>
        <v/>
      </c>
      <c r="G39" s="29" t="str">
        <f>IF(COUNT(VLOOKUP($B39,Education!$B$2:$L$236,11,FALSE)&amp;"")=1,VLOOKUP($B39,Education!$B$2:$L$236,11,FALSE),"")</f>
        <v/>
      </c>
      <c r="H39" s="29" t="str">
        <f>IF(COUNT(VLOOKUP($B39,Gender!$B$2:$K$236,10,FALSE)&amp;"")=1,VLOOKUP($B39,Gender!$B$2:$K$236,10,FALSE),"")</f>
        <v/>
      </c>
      <c r="I39" s="29" t="str">
        <f>IF(COUNT(VLOOKUP($B39,'Religious Freedom'!$B$2:$K$200,10,FALSE)&amp;"")=1,VLOOKUP($B39,'Religious Freedom'!$B$2:$K$200,10,FALSE),"")</f>
        <v/>
      </c>
    </row>
    <row r="40" ht="14.25" customHeight="1">
      <c r="A40" s="22" t="s">
        <v>75</v>
      </c>
      <c r="B40" s="22" t="s">
        <v>76</v>
      </c>
      <c r="C40" s="29" t="str">
        <f>IF(COUNT(VLOOKUP($B40,Water!$B$2:$L$235,11,FALSE)&amp;"")=1,(VLOOKUP($B40,Water!$B$2:$L$235,11,FALSE)),"")</f>
        <v/>
      </c>
      <c r="D40" s="29" t="str">
        <f>IF(COUNT(VLOOKUP($B40,Food!$B$2:$K$236,10,FALSE)&amp;"")=1,VLOOKUP($B40,Food!$B$2:$K$236,10,FALSE),"")</f>
        <v/>
      </c>
      <c r="E40" s="29" t="str">
        <f>IF(COUNT(VLOOKUP($B40,Housing!$B$2:$L$236,11,FALSE)&amp;"")=1,VLOOKUP($B40,Housing!$B$2:$L$236,11,FALSE),"")</f>
        <v/>
      </c>
      <c r="F40" s="29" t="str">
        <f>IF(COUNT(VLOOKUP($B40,Employment!$B$2:$M$236,12,FALSE)&amp;"")=1,VLOOKUP($B40,Employment!$B$2:$M$236,12,FALSE),"")</f>
        <v/>
      </c>
      <c r="G40" s="29" t="str">
        <f>IF(COUNT(VLOOKUP($B40,Education!$B$2:$L$236,11,FALSE)&amp;"")=1,VLOOKUP($B40,Education!$B$2:$L$236,11,FALSE),"")</f>
        <v/>
      </c>
      <c r="H40" s="29" t="str">
        <f>IF(COUNT(VLOOKUP($B40,Gender!$B$2:$K$236,10,FALSE)&amp;"")=1,VLOOKUP($B40,Gender!$B$2:$K$236,10,FALSE),"")</f>
        <v/>
      </c>
      <c r="I40" s="29" t="str">
        <f>IF(COUNT(VLOOKUP($B40,'Religious Freedom'!$B$2:$K$200,10,FALSE)&amp;"")=1,VLOOKUP($B40,'Religious Freedom'!$B$2:$K$200,10,FALSE),"")</f>
        <v/>
      </c>
    </row>
    <row r="41" ht="14.25" customHeight="1">
      <c r="A41" s="22" t="s">
        <v>77</v>
      </c>
      <c r="B41" s="22" t="s">
        <v>78</v>
      </c>
      <c r="C41" s="29" t="str">
        <f>IF(COUNT(VLOOKUP($B41,Water!$B$2:$L$235,11,FALSE)&amp;"")=1,(VLOOKUP($B41,Water!$B$2:$L$235,11,FALSE)),"")</f>
        <v/>
      </c>
      <c r="D41" s="29" t="str">
        <f>IF(COUNT(VLOOKUP($B41,Food!$B$2:$K$236,10,FALSE)&amp;"")=1,VLOOKUP($B41,Food!$B$2:$K$236,10,FALSE),"")</f>
        <v/>
      </c>
      <c r="E41" s="29" t="str">
        <f>IF(COUNT(VLOOKUP($B41,Housing!$B$2:$L$236,11,FALSE)&amp;"")=1,VLOOKUP($B41,Housing!$B$2:$L$236,11,FALSE),"")</f>
        <v/>
      </c>
      <c r="F41" s="29" t="str">
        <f>IF(COUNT(VLOOKUP($B41,Employment!$B$2:$M$236,12,FALSE)&amp;"")=1,VLOOKUP($B41,Employment!$B$2:$M$236,12,FALSE),"")</f>
        <v/>
      </c>
      <c r="G41" s="29" t="str">
        <f>IF(COUNT(VLOOKUP($B41,Education!$B$2:$L$236,11,FALSE)&amp;"")=1,VLOOKUP($B41,Education!$B$2:$L$236,11,FALSE),"")</f>
        <v/>
      </c>
      <c r="H41" s="29" t="str">
        <f>IF(COUNT(VLOOKUP($B41,Gender!$B$2:$K$236,10,FALSE)&amp;"")=1,VLOOKUP($B41,Gender!$B$2:$K$236,10,FALSE),"")</f>
        <v/>
      </c>
      <c r="I41" s="29" t="str">
        <f>IF(COUNT(VLOOKUP($B41,'Religious Freedom'!$B$2:$K$200,10,FALSE)&amp;"")=1,VLOOKUP($B41,'Religious Freedom'!$B$2:$K$200,10,FALSE),"")</f>
        <v/>
      </c>
    </row>
    <row r="42" ht="14.25" customHeight="1">
      <c r="A42" s="22" t="s">
        <v>79</v>
      </c>
      <c r="B42" s="22" t="s">
        <v>80</v>
      </c>
      <c r="C42" s="29" t="str">
        <f>IF(COUNT(VLOOKUP($B42,Water!$B$2:$L$235,11,FALSE)&amp;"")=1,(VLOOKUP($B42,Water!$B$2:$L$235,11,FALSE)),"")</f>
        <v/>
      </c>
      <c r="D42" s="29" t="str">
        <f>IF(COUNT(VLOOKUP($B42,Food!$B$2:$K$236,10,FALSE)&amp;"")=1,VLOOKUP($B42,Food!$B$2:$K$236,10,FALSE),"")</f>
        <v/>
      </c>
      <c r="E42" s="29" t="str">
        <f>IF(COUNT(VLOOKUP($B42,Housing!$B$2:$L$236,11,FALSE)&amp;"")=1,VLOOKUP($B42,Housing!$B$2:$L$236,11,FALSE),"")</f>
        <v/>
      </c>
      <c r="F42" s="29" t="str">
        <f>IF(COUNT(VLOOKUP($B42,Employment!$B$2:$M$236,12,FALSE)&amp;"")=1,VLOOKUP($B42,Employment!$B$2:$M$236,12,FALSE),"")</f>
        <v/>
      </c>
      <c r="G42" s="29" t="str">
        <f>IF(COUNT(VLOOKUP($B42,Education!$B$2:$L$236,11,FALSE)&amp;"")=1,VLOOKUP($B42,Education!$B$2:$L$236,11,FALSE),"")</f>
        <v/>
      </c>
      <c r="H42" s="29" t="str">
        <f>IF(COUNT(VLOOKUP($B42,Gender!$B$2:$K$236,10,FALSE)&amp;"")=1,VLOOKUP($B42,Gender!$B$2:$K$236,10,FALSE),"")</f>
        <v/>
      </c>
      <c r="I42" s="29" t="str">
        <f>IF(COUNT(VLOOKUP($B42,'Religious Freedom'!$B$2:$K$200,10,FALSE)&amp;"")=1,VLOOKUP($B42,'Religious Freedom'!$B$2:$K$200,10,FALSE),"")</f>
        <v/>
      </c>
    </row>
    <row r="43" ht="14.25" customHeight="1">
      <c r="A43" s="22" t="s">
        <v>81</v>
      </c>
      <c r="B43" s="22" t="s">
        <v>82</v>
      </c>
      <c r="C43" s="29" t="str">
        <f>IF(COUNT(VLOOKUP($B43,Water!$B$2:$L$235,11,FALSE)&amp;"")=1,(VLOOKUP($B43,Water!$B$2:$L$235,11,FALSE)),"")</f>
        <v/>
      </c>
      <c r="D43" s="29" t="str">
        <f>IF(COUNT(VLOOKUP($B43,Food!$B$2:$K$236,10,FALSE)&amp;"")=1,VLOOKUP($B43,Food!$B$2:$K$236,10,FALSE),"")</f>
        <v/>
      </c>
      <c r="E43" s="29" t="str">
        <f>IF(COUNT(VLOOKUP($B43,Housing!$B$2:$L$236,11,FALSE)&amp;"")=1,VLOOKUP($B43,Housing!$B$2:$L$236,11,FALSE),"")</f>
        <v/>
      </c>
      <c r="F43" s="29" t="str">
        <f>IF(COUNT(VLOOKUP($B43,Employment!$B$2:$M$236,12,FALSE)&amp;"")=1,VLOOKUP($B43,Employment!$B$2:$M$236,12,FALSE),"")</f>
        <v/>
      </c>
      <c r="G43" s="29" t="str">
        <f>IF(COUNT(VLOOKUP($B43,Education!$B$2:$L$236,11,FALSE)&amp;"")=1,VLOOKUP($B43,Education!$B$2:$L$236,11,FALSE),"")</f>
        <v/>
      </c>
      <c r="H43" s="29" t="str">
        <f>IF(COUNT(VLOOKUP($B43,Gender!$B$2:$K$236,10,FALSE)&amp;"")=1,VLOOKUP($B43,Gender!$B$2:$K$236,10,FALSE),"")</f>
        <v/>
      </c>
      <c r="I43" s="29" t="str">
        <f>IF(COUNT(VLOOKUP($B43,'Religious Freedom'!$B$2:$K$200,10,FALSE)&amp;"")=1,VLOOKUP($B43,'Religious Freedom'!$B$2:$K$200,10,FALSE),"")</f>
        <v/>
      </c>
    </row>
    <row r="44" ht="14.25" customHeight="1">
      <c r="A44" s="22" t="s">
        <v>83</v>
      </c>
      <c r="B44" s="22" t="s">
        <v>84</v>
      </c>
      <c r="C44" s="29" t="str">
        <f>IF(COUNT(VLOOKUP($B44,Water!$B$2:$L$235,11,FALSE)&amp;"")=1,(VLOOKUP($B44,Water!$B$2:$L$235,11,FALSE)),"")</f>
        <v/>
      </c>
      <c r="D44" s="29" t="str">
        <f>IF(COUNT(VLOOKUP($B44,Food!$B$2:$K$236,10,FALSE)&amp;"")=1,VLOOKUP($B44,Food!$B$2:$K$236,10,FALSE),"")</f>
        <v/>
      </c>
      <c r="E44" s="29" t="str">
        <f>IF(COUNT(VLOOKUP($B44,Housing!$B$2:$L$236,11,FALSE)&amp;"")=1,VLOOKUP($B44,Housing!$B$2:$L$236,11,FALSE),"")</f>
        <v/>
      </c>
      <c r="F44" s="29" t="str">
        <f>IF(COUNT(VLOOKUP($B44,Employment!$B$2:$M$236,12,FALSE)&amp;"")=1,VLOOKUP($B44,Employment!$B$2:$M$236,12,FALSE),"")</f>
        <v/>
      </c>
      <c r="G44" s="29" t="str">
        <f>IF(COUNT(VLOOKUP($B44,Education!$B$2:$L$236,11,FALSE)&amp;"")=1,VLOOKUP($B44,Education!$B$2:$L$236,11,FALSE),"")</f>
        <v/>
      </c>
      <c r="H44" s="29" t="str">
        <f>IF(COUNT(VLOOKUP($B44,Gender!$B$2:$K$236,10,FALSE)&amp;"")=1,VLOOKUP($B44,Gender!$B$2:$K$236,10,FALSE),"")</f>
        <v/>
      </c>
      <c r="I44" s="29" t="str">
        <f>IF(COUNT(VLOOKUP($B44,'Religious Freedom'!$B$2:$K$200,10,FALSE)&amp;"")=1,VLOOKUP($B44,'Religious Freedom'!$B$2:$K$200,10,FALSE),"")</f>
        <v/>
      </c>
    </row>
    <row r="45" ht="14.25" customHeight="1">
      <c r="A45" s="22" t="s">
        <v>85</v>
      </c>
      <c r="B45" s="22" t="s">
        <v>86</v>
      </c>
      <c r="C45" s="29" t="str">
        <f>IF(COUNT(VLOOKUP($B45,Water!$B$2:$L$235,11,FALSE)&amp;"")=1,(VLOOKUP($B45,Water!$B$2:$L$235,11,FALSE)),"")</f>
        <v/>
      </c>
      <c r="D45" s="29" t="str">
        <f>IF(COUNT(VLOOKUP($B45,Food!$B$2:$K$236,10,FALSE)&amp;"")=1,VLOOKUP($B45,Food!$B$2:$K$236,10,FALSE),"")</f>
        <v/>
      </c>
      <c r="E45" s="29" t="str">
        <f>IF(COUNT(VLOOKUP($B45,Housing!$B$2:$L$236,11,FALSE)&amp;"")=1,VLOOKUP($B45,Housing!$B$2:$L$236,11,FALSE),"")</f>
        <v/>
      </c>
      <c r="F45" s="29" t="str">
        <f>IF(COUNT(VLOOKUP($B45,Employment!$B$2:$M$236,12,FALSE)&amp;"")=1,VLOOKUP($B45,Employment!$B$2:$M$236,12,FALSE),"")</f>
        <v/>
      </c>
      <c r="G45" s="29" t="str">
        <f>IF(COUNT(VLOOKUP($B45,Education!$B$2:$L$236,11,FALSE)&amp;"")=1,VLOOKUP($B45,Education!$B$2:$L$236,11,FALSE),"")</f>
        <v/>
      </c>
      <c r="H45" s="29" t="str">
        <f>IF(COUNT(VLOOKUP($B45,Gender!$B$2:$K$236,10,FALSE)&amp;"")=1,VLOOKUP($B45,Gender!$B$2:$K$236,10,FALSE),"")</f>
        <v/>
      </c>
      <c r="I45" s="29" t="str">
        <f>IF(COUNT(VLOOKUP($B45,'Religious Freedom'!$B$2:$K$200,10,FALSE)&amp;"")=1,VLOOKUP($B45,'Religious Freedom'!$B$2:$K$200,10,FALSE),"")</f>
        <v/>
      </c>
    </row>
    <row r="46" ht="14.25" customHeight="1">
      <c r="A46" s="22" t="s">
        <v>87</v>
      </c>
      <c r="B46" s="22" t="s">
        <v>88</v>
      </c>
      <c r="C46" s="29" t="str">
        <f>IF(COUNT(VLOOKUP($B46,Water!$B$2:$L$235,11,FALSE)&amp;"")=1,(VLOOKUP($B46,Water!$B$2:$L$235,11,FALSE)),"")</f>
        <v/>
      </c>
      <c r="D46" s="29" t="str">
        <f>IF(COUNT(VLOOKUP($B46,Food!$B$2:$K$236,10,FALSE)&amp;"")=1,VLOOKUP($B46,Food!$B$2:$K$236,10,FALSE),"")</f>
        <v/>
      </c>
      <c r="E46" s="29" t="str">
        <f>IF(COUNT(VLOOKUP($B46,Housing!$B$2:$L$236,11,FALSE)&amp;"")=1,VLOOKUP($B46,Housing!$B$2:$L$236,11,FALSE),"")</f>
        <v/>
      </c>
      <c r="F46" s="29" t="str">
        <f>IF(COUNT(VLOOKUP($B46,Employment!$B$2:$M$236,12,FALSE)&amp;"")=1,VLOOKUP($B46,Employment!$B$2:$M$236,12,FALSE),"")</f>
        <v/>
      </c>
      <c r="G46" s="29" t="str">
        <f>IF(COUNT(VLOOKUP($B46,Education!$B$2:$L$236,11,FALSE)&amp;"")=1,VLOOKUP($B46,Education!$B$2:$L$236,11,FALSE),"")</f>
        <v/>
      </c>
      <c r="H46" s="29" t="str">
        <f>IF(COUNT(VLOOKUP($B46,Gender!$B$2:$K$236,10,FALSE)&amp;"")=1,VLOOKUP($B46,Gender!$B$2:$K$236,10,FALSE),"")</f>
        <v/>
      </c>
      <c r="I46" s="29" t="str">
        <f>IF(COUNT(VLOOKUP($B46,'Religious Freedom'!$B$2:$K$200,10,FALSE)&amp;"")=1,VLOOKUP($B46,'Religious Freedom'!$B$2:$K$200,10,FALSE),"")</f>
        <v/>
      </c>
    </row>
    <row r="47" ht="14.25" customHeight="1">
      <c r="A47" s="22" t="s">
        <v>89</v>
      </c>
      <c r="B47" s="22" t="s">
        <v>90</v>
      </c>
      <c r="C47" s="29" t="str">
        <f>IF(COUNT(VLOOKUP($B47,Water!$B$2:$L$235,11,FALSE)&amp;"")=1,(VLOOKUP($B47,Water!$B$2:$L$235,11,FALSE)),"")</f>
        <v/>
      </c>
      <c r="D47" s="29" t="str">
        <f>IF(COUNT(VLOOKUP($B47,Food!$B$2:$K$236,10,FALSE)&amp;"")=1,VLOOKUP($B47,Food!$B$2:$K$236,10,FALSE),"")</f>
        <v/>
      </c>
      <c r="E47" s="29" t="str">
        <f>IF(COUNT(VLOOKUP($B47,Housing!$B$2:$L$236,11,FALSE)&amp;"")=1,VLOOKUP($B47,Housing!$B$2:$L$236,11,FALSE),"")</f>
        <v/>
      </c>
      <c r="F47" s="29" t="str">
        <f>IF(COUNT(VLOOKUP($B47,Employment!$B$2:$M$236,12,FALSE)&amp;"")=1,VLOOKUP($B47,Employment!$B$2:$M$236,12,FALSE),"")</f>
        <v/>
      </c>
      <c r="G47" s="29" t="str">
        <f>IF(COUNT(VLOOKUP($B47,Education!$B$2:$L$236,11,FALSE)&amp;"")=1,VLOOKUP($B47,Education!$B$2:$L$236,11,FALSE),"")</f>
        <v/>
      </c>
      <c r="H47" s="29" t="str">
        <f>IF(COUNT(VLOOKUP($B47,Gender!$B$2:$K$236,10,FALSE)&amp;"")=1,VLOOKUP($B47,Gender!$B$2:$K$236,10,FALSE),"")</f>
        <v/>
      </c>
      <c r="I47" s="29" t="str">
        <f>IF(COUNT(VLOOKUP($B47,'Religious Freedom'!$B$2:$K$200,10,FALSE)&amp;"")=1,VLOOKUP($B47,'Religious Freedom'!$B$2:$K$200,10,FALSE),"")</f>
        <v/>
      </c>
    </row>
    <row r="48" ht="14.25" customHeight="1">
      <c r="A48" s="22" t="s">
        <v>91</v>
      </c>
      <c r="B48" s="22" t="s">
        <v>92</v>
      </c>
      <c r="C48" s="29" t="str">
        <f>IF(COUNT(VLOOKUP($B48,Water!$B$2:$L$235,11,FALSE)&amp;"")=1,(VLOOKUP($B48,Water!$B$2:$L$235,11,FALSE)),"")</f>
        <v/>
      </c>
      <c r="D48" s="29" t="str">
        <f>IF(COUNT(VLOOKUP($B48,Food!$B$2:$K$236,10,FALSE)&amp;"")=1,VLOOKUP($B48,Food!$B$2:$K$236,10,FALSE),"")</f>
        <v/>
      </c>
      <c r="E48" s="29" t="str">
        <f>IF(COUNT(VLOOKUP($B48,Housing!$B$2:$L$236,11,FALSE)&amp;"")=1,VLOOKUP($B48,Housing!$B$2:$L$236,11,FALSE),"")</f>
        <v/>
      </c>
      <c r="F48" s="29" t="str">
        <f>IF(COUNT(VLOOKUP($B48,Employment!$B$2:$M$236,12,FALSE)&amp;"")=1,VLOOKUP($B48,Employment!$B$2:$M$236,12,FALSE),"")</f>
        <v/>
      </c>
      <c r="G48" s="29" t="str">
        <f>IF(COUNT(VLOOKUP($B48,Education!$B$2:$L$236,11,FALSE)&amp;"")=1,VLOOKUP($B48,Education!$B$2:$L$236,11,FALSE),"")</f>
        <v/>
      </c>
      <c r="H48" s="29" t="str">
        <f>IF(COUNT(VLOOKUP($B48,Gender!$B$2:$K$236,10,FALSE)&amp;"")=1,VLOOKUP($B48,Gender!$B$2:$K$236,10,FALSE),"")</f>
        <v/>
      </c>
      <c r="I48" s="29" t="str">
        <f>IF(COUNT(VLOOKUP($B48,'Religious Freedom'!$B$2:$K$200,10,FALSE)&amp;"")=1,VLOOKUP($B48,'Religious Freedom'!$B$2:$K$200,10,FALSE),"")</f>
        <v/>
      </c>
    </row>
    <row r="49" ht="14.25" customHeight="1">
      <c r="A49" s="22" t="s">
        <v>553</v>
      </c>
      <c r="B49" s="22" t="s">
        <v>473</v>
      </c>
      <c r="C49" s="29" t="str">
        <f>IF(COUNT(VLOOKUP($B49,Water!$B$2:$L$235,11,FALSE)&amp;"")=1,(VLOOKUP($B49,Water!$B$2:$L$235,11,FALSE)),"")</f>
        <v/>
      </c>
      <c r="D49" s="29" t="str">
        <f>IF(COUNT(VLOOKUP($B49,Food!$B$2:$K$236,10,FALSE)&amp;"")=1,VLOOKUP($B49,Food!$B$2:$K$236,10,FALSE),"")</f>
        <v/>
      </c>
      <c r="E49" s="29" t="str">
        <f>IF(COUNT(VLOOKUP($B49,Housing!$B$2:$L$236,11,FALSE)&amp;"")=1,VLOOKUP($B49,Housing!$B$2:$L$236,11,FALSE),"")</f>
        <v/>
      </c>
      <c r="F49" s="29" t="str">
        <f>IF(COUNT(VLOOKUP($B49,Employment!$B$2:$M$236,12,FALSE)&amp;"")=1,VLOOKUP($B49,Employment!$B$2:$M$236,12,FALSE),"")</f>
        <v/>
      </c>
      <c r="G49" s="29" t="str">
        <f>IF(COUNT(VLOOKUP($B49,Education!$B$2:$L$236,11,FALSE)&amp;"")=1,VLOOKUP($B49,Education!$B$2:$L$236,11,FALSE),"")</f>
        <v/>
      </c>
      <c r="H49" s="29" t="str">
        <f>IF(COUNT(VLOOKUP($B49,Gender!$B$2:$K$236,10,FALSE)&amp;"")=1,VLOOKUP($B49,Gender!$B$2:$K$236,10,FALSE),"")</f>
        <v/>
      </c>
      <c r="I49" s="29" t="str">
        <f>IF(COUNT(VLOOKUP($B49,'Religious Freedom'!$B$2:$K$200,10,FALSE)&amp;"")=1,VLOOKUP($B49,'Religious Freedom'!$B$2:$K$200,10,FALSE),"")</f>
        <v/>
      </c>
    </row>
    <row r="50" ht="14.25" customHeight="1">
      <c r="A50" s="22" t="s">
        <v>93</v>
      </c>
      <c r="B50" s="22" t="s">
        <v>94</v>
      </c>
      <c r="C50" s="29" t="str">
        <f>IF(COUNT(VLOOKUP($B50,Water!$B$2:$L$235,11,FALSE)&amp;"")=1,(VLOOKUP($B50,Water!$B$2:$L$235,11,FALSE)),"")</f>
        <v/>
      </c>
      <c r="D50" s="29" t="str">
        <f>IF(COUNT(VLOOKUP($B50,Food!$B$2:$K$236,10,FALSE)&amp;"")=1,VLOOKUP($B50,Food!$B$2:$K$236,10,FALSE),"")</f>
        <v/>
      </c>
      <c r="E50" s="29" t="str">
        <f>IF(COUNT(VLOOKUP($B50,Housing!$B$2:$L$236,11,FALSE)&amp;"")=1,VLOOKUP($B50,Housing!$B$2:$L$236,11,FALSE),"")</f>
        <v/>
      </c>
      <c r="F50" s="29" t="str">
        <f>IF(COUNT(VLOOKUP($B50,Employment!$B$2:$M$236,12,FALSE)&amp;"")=1,VLOOKUP($B50,Employment!$B$2:$M$236,12,FALSE),"")</f>
        <v/>
      </c>
      <c r="G50" s="29" t="str">
        <f>IF(COUNT(VLOOKUP($B50,Education!$B$2:$L$236,11,FALSE)&amp;"")=1,VLOOKUP($B50,Education!$B$2:$L$236,11,FALSE),"")</f>
        <v/>
      </c>
      <c r="H50" s="29" t="str">
        <f>IF(COUNT(VLOOKUP($B50,Gender!$B$2:$K$236,10,FALSE)&amp;"")=1,VLOOKUP($B50,Gender!$B$2:$K$236,10,FALSE),"")</f>
        <v/>
      </c>
      <c r="I50" s="29" t="str">
        <f>IF(COUNT(VLOOKUP($B50,'Religious Freedom'!$B$2:$K$200,10,FALSE)&amp;"")=1,VLOOKUP($B50,'Religious Freedom'!$B$2:$K$200,10,FALSE),"")</f>
        <v/>
      </c>
    </row>
    <row r="51" ht="14.25" customHeight="1">
      <c r="A51" s="22" t="s">
        <v>95</v>
      </c>
      <c r="B51" s="22" t="s">
        <v>96</v>
      </c>
      <c r="C51" s="29" t="str">
        <f>IF(COUNT(VLOOKUP($B51,Water!$B$2:$L$235,11,FALSE)&amp;"")=1,(VLOOKUP($B51,Water!$B$2:$L$235,11,FALSE)),"")</f>
        <v/>
      </c>
      <c r="D51" s="29" t="str">
        <f>IF(COUNT(VLOOKUP($B51,Food!$B$2:$K$236,10,FALSE)&amp;"")=1,VLOOKUP($B51,Food!$B$2:$K$236,10,FALSE),"")</f>
        <v/>
      </c>
      <c r="E51" s="29" t="str">
        <f>IF(COUNT(VLOOKUP($B51,Housing!$B$2:$L$236,11,FALSE)&amp;"")=1,VLOOKUP($B51,Housing!$B$2:$L$236,11,FALSE),"")</f>
        <v/>
      </c>
      <c r="F51" s="29" t="str">
        <f>IF(COUNT(VLOOKUP($B51,Employment!$B$2:$M$236,12,FALSE)&amp;"")=1,VLOOKUP($B51,Employment!$B$2:$M$236,12,FALSE),"")</f>
        <v/>
      </c>
      <c r="G51" s="29" t="str">
        <f>IF(COUNT(VLOOKUP($B51,Education!$B$2:$L$236,11,FALSE)&amp;"")=1,VLOOKUP($B51,Education!$B$2:$L$236,11,FALSE),"")</f>
        <v/>
      </c>
      <c r="H51" s="29" t="str">
        <f>IF(COUNT(VLOOKUP($B51,Gender!$B$2:$K$236,10,FALSE)&amp;"")=1,VLOOKUP($B51,Gender!$B$2:$K$236,10,FALSE),"")</f>
        <v/>
      </c>
      <c r="I51" s="29" t="str">
        <f>IF(COUNT(VLOOKUP($B51,'Religious Freedom'!$B$2:$K$200,10,FALSE)&amp;"")=1,VLOOKUP($B51,'Religious Freedom'!$B$2:$K$200,10,FALSE),"")</f>
        <v/>
      </c>
    </row>
    <row r="52" ht="14.25" customHeight="1">
      <c r="A52" s="22" t="s">
        <v>97</v>
      </c>
      <c r="B52" s="22" t="s">
        <v>98</v>
      </c>
      <c r="C52" s="29" t="str">
        <f>IF(COUNT(VLOOKUP($B52,Water!$B$2:$L$235,11,FALSE)&amp;"")=1,(VLOOKUP($B52,Water!$B$2:$L$235,11,FALSE)),"")</f>
        <v/>
      </c>
      <c r="D52" s="29" t="str">
        <f>IF(COUNT(VLOOKUP($B52,Food!$B$2:$K$236,10,FALSE)&amp;"")=1,VLOOKUP($B52,Food!$B$2:$K$236,10,FALSE),"")</f>
        <v/>
      </c>
      <c r="E52" s="29" t="str">
        <f>IF(COUNT(VLOOKUP($B52,Housing!$B$2:$L$236,11,FALSE)&amp;"")=1,VLOOKUP($B52,Housing!$B$2:$L$236,11,FALSE),"")</f>
        <v/>
      </c>
      <c r="F52" s="29" t="str">
        <f>IF(COUNT(VLOOKUP($B52,Employment!$B$2:$M$236,12,FALSE)&amp;"")=1,VLOOKUP($B52,Employment!$B$2:$M$236,12,FALSE),"")</f>
        <v/>
      </c>
      <c r="G52" s="29" t="str">
        <f>IF(COUNT(VLOOKUP($B52,Education!$B$2:$L$236,11,FALSE)&amp;"")=1,VLOOKUP($B52,Education!$B$2:$L$236,11,FALSE),"")</f>
        <v/>
      </c>
      <c r="H52" s="29" t="str">
        <f>IF(COUNT(VLOOKUP($B52,Gender!$B$2:$K$236,10,FALSE)&amp;"")=1,VLOOKUP($B52,Gender!$B$2:$K$236,10,FALSE),"")</f>
        <v/>
      </c>
      <c r="I52" s="29" t="str">
        <f>IF(COUNT(VLOOKUP($B52,'Religious Freedom'!$B$2:$K$200,10,FALSE)&amp;"")=1,VLOOKUP($B52,'Religious Freedom'!$B$2:$K$200,10,FALSE),"")</f>
        <v/>
      </c>
    </row>
    <row r="53" ht="14.25" customHeight="1">
      <c r="A53" s="22" t="s">
        <v>99</v>
      </c>
      <c r="B53" s="22" t="s">
        <v>100</v>
      </c>
      <c r="C53" s="29" t="str">
        <f>IF(COUNT(VLOOKUP($B53,Water!$B$2:$L$235,11,FALSE)&amp;"")=1,(VLOOKUP($B53,Water!$B$2:$L$235,11,FALSE)),"")</f>
        <v/>
      </c>
      <c r="D53" s="29" t="str">
        <f>IF(COUNT(VLOOKUP($B53,Food!$B$2:$K$236,10,FALSE)&amp;"")=1,VLOOKUP($B53,Food!$B$2:$K$236,10,FALSE),"")</f>
        <v/>
      </c>
      <c r="E53" s="29" t="str">
        <f>IF(COUNT(VLOOKUP($B53,Housing!$B$2:$L$236,11,FALSE)&amp;"")=1,VLOOKUP($B53,Housing!$B$2:$L$236,11,FALSE),"")</f>
        <v/>
      </c>
      <c r="F53" s="29" t="str">
        <f>IF(COUNT(VLOOKUP($B53,Employment!$B$2:$M$236,12,FALSE)&amp;"")=1,VLOOKUP($B53,Employment!$B$2:$M$236,12,FALSE),"")</f>
        <v/>
      </c>
      <c r="G53" s="29" t="str">
        <f>IF(COUNT(VLOOKUP($B53,Education!$B$2:$L$236,11,FALSE)&amp;"")=1,VLOOKUP($B53,Education!$B$2:$L$236,11,FALSE),"")</f>
        <v/>
      </c>
      <c r="H53" s="29" t="str">
        <f>IF(COUNT(VLOOKUP($B53,Gender!$B$2:$K$236,10,FALSE)&amp;"")=1,VLOOKUP($B53,Gender!$B$2:$K$236,10,FALSE),"")</f>
        <v/>
      </c>
      <c r="I53" s="29" t="str">
        <f>IF(COUNT(VLOOKUP($B53,'Religious Freedom'!$B$2:$K$200,10,FALSE)&amp;"")=1,VLOOKUP($B53,'Religious Freedom'!$B$2:$K$200,10,FALSE),"")</f>
        <v/>
      </c>
    </row>
    <row r="54" ht="14.25" customHeight="1">
      <c r="A54" s="22" t="s">
        <v>101</v>
      </c>
      <c r="B54" s="22" t="s">
        <v>102</v>
      </c>
      <c r="C54" s="29" t="str">
        <f>IF(COUNT(VLOOKUP($B54,Water!$B$2:$L$235,11,FALSE)&amp;"")=1,(VLOOKUP($B54,Water!$B$2:$L$235,11,FALSE)),"")</f>
        <v/>
      </c>
      <c r="D54" s="29" t="str">
        <f>IF(COUNT(VLOOKUP($B54,Food!$B$2:$K$236,10,FALSE)&amp;"")=1,VLOOKUP($B54,Food!$B$2:$K$236,10,FALSE),"")</f>
        <v/>
      </c>
      <c r="E54" s="29" t="str">
        <f>IF(COUNT(VLOOKUP($B54,Housing!$B$2:$L$236,11,FALSE)&amp;"")=1,VLOOKUP($B54,Housing!$B$2:$L$236,11,FALSE),"")</f>
        <v/>
      </c>
      <c r="F54" s="29" t="str">
        <f>IF(COUNT(VLOOKUP($B54,Employment!$B$2:$M$236,12,FALSE)&amp;"")=1,VLOOKUP($B54,Employment!$B$2:$M$236,12,FALSE),"")</f>
        <v/>
      </c>
      <c r="G54" s="29" t="str">
        <f>IF(COUNT(VLOOKUP($B54,Education!$B$2:$L$236,11,FALSE)&amp;"")=1,VLOOKUP($B54,Education!$B$2:$L$236,11,FALSE),"")</f>
        <v/>
      </c>
      <c r="H54" s="29" t="str">
        <f>IF(COUNT(VLOOKUP($B54,Gender!$B$2:$K$236,10,FALSE)&amp;"")=1,VLOOKUP($B54,Gender!$B$2:$K$236,10,FALSE),"")</f>
        <v/>
      </c>
      <c r="I54" s="29" t="str">
        <f>IF(COUNT(VLOOKUP($B54,'Religious Freedom'!$B$2:$K$200,10,FALSE)&amp;"")=1,VLOOKUP($B54,'Religious Freedom'!$B$2:$K$200,10,FALSE),"")</f>
        <v/>
      </c>
    </row>
    <row r="55" ht="14.25" customHeight="1">
      <c r="A55" s="22" t="s">
        <v>103</v>
      </c>
      <c r="B55" s="22" t="s">
        <v>104</v>
      </c>
      <c r="C55" s="29" t="str">
        <f>IF(COUNT(VLOOKUP($B55,Water!$B$2:$L$235,11,FALSE)&amp;"")=1,(VLOOKUP($B55,Water!$B$2:$L$235,11,FALSE)),"")</f>
        <v/>
      </c>
      <c r="D55" s="29" t="str">
        <f>IF(COUNT(VLOOKUP($B55,Food!$B$2:$K$236,10,FALSE)&amp;"")=1,VLOOKUP($B55,Food!$B$2:$K$236,10,FALSE),"")</f>
        <v/>
      </c>
      <c r="E55" s="29" t="str">
        <f>IF(COUNT(VLOOKUP($B55,Housing!$B$2:$L$236,11,FALSE)&amp;"")=1,VLOOKUP($B55,Housing!$B$2:$L$236,11,FALSE),"")</f>
        <v/>
      </c>
      <c r="F55" s="29" t="str">
        <f>IF(COUNT(VLOOKUP($B55,Employment!$B$2:$M$236,12,FALSE)&amp;"")=1,VLOOKUP($B55,Employment!$B$2:$M$236,12,FALSE),"")</f>
        <v/>
      </c>
      <c r="G55" s="29" t="str">
        <f>IF(COUNT(VLOOKUP($B55,Education!$B$2:$L$236,11,FALSE)&amp;"")=1,VLOOKUP($B55,Education!$B$2:$L$236,11,FALSE),"")</f>
        <v/>
      </c>
      <c r="H55" s="29" t="str">
        <f>IF(COUNT(VLOOKUP($B55,Gender!$B$2:$K$236,10,FALSE)&amp;"")=1,VLOOKUP($B55,Gender!$B$2:$K$236,10,FALSE),"")</f>
        <v/>
      </c>
      <c r="I55" s="29" t="str">
        <f>IF(COUNT(VLOOKUP($B55,'Religious Freedom'!$B$2:$K$200,10,FALSE)&amp;"")=1,VLOOKUP($B55,'Religious Freedom'!$B$2:$K$200,10,FALSE),"")</f>
        <v/>
      </c>
    </row>
    <row r="56" ht="14.25" customHeight="1">
      <c r="A56" s="22" t="s">
        <v>105</v>
      </c>
      <c r="B56" s="22" t="s">
        <v>106</v>
      </c>
      <c r="C56" s="29" t="str">
        <f>IF(COUNT(VLOOKUP($B56,Water!$B$2:$L$235,11,FALSE)&amp;"")=1,(VLOOKUP($B56,Water!$B$2:$L$235,11,FALSE)),"")</f>
        <v/>
      </c>
      <c r="D56" s="29" t="str">
        <f>IF(COUNT(VLOOKUP($B56,Food!$B$2:$K$236,10,FALSE)&amp;"")=1,VLOOKUP($B56,Food!$B$2:$K$236,10,FALSE),"")</f>
        <v/>
      </c>
      <c r="E56" s="29" t="str">
        <f>IF(COUNT(VLOOKUP($B56,Housing!$B$2:$L$236,11,FALSE)&amp;"")=1,VLOOKUP($B56,Housing!$B$2:$L$236,11,FALSE),"")</f>
        <v/>
      </c>
      <c r="F56" s="29" t="str">
        <f>IF(COUNT(VLOOKUP($B56,Employment!$B$2:$M$236,12,FALSE)&amp;"")=1,VLOOKUP($B56,Employment!$B$2:$M$236,12,FALSE),"")</f>
        <v/>
      </c>
      <c r="G56" s="29" t="str">
        <f>IF(COUNT(VLOOKUP($B56,Education!$B$2:$L$236,11,FALSE)&amp;"")=1,VLOOKUP($B56,Education!$B$2:$L$236,11,FALSE),"")</f>
        <v/>
      </c>
      <c r="H56" s="29" t="str">
        <f>IF(COUNT(VLOOKUP($B56,Gender!$B$2:$K$236,10,FALSE)&amp;"")=1,VLOOKUP($B56,Gender!$B$2:$K$236,10,FALSE),"")</f>
        <v/>
      </c>
      <c r="I56" s="29" t="str">
        <f>IF(COUNT(VLOOKUP($B56,'Religious Freedom'!$B$2:$K$200,10,FALSE)&amp;"")=1,VLOOKUP($B56,'Religious Freedom'!$B$2:$K$200,10,FALSE),"")</f>
        <v/>
      </c>
    </row>
    <row r="57" ht="14.25" customHeight="1">
      <c r="A57" s="22" t="s">
        <v>107</v>
      </c>
      <c r="B57" s="22" t="s">
        <v>108</v>
      </c>
      <c r="C57" s="29" t="str">
        <f>IF(COUNT(VLOOKUP($B57,Water!$B$2:$L$235,11,FALSE)&amp;"")=1,(VLOOKUP($B57,Water!$B$2:$L$235,11,FALSE)),"")</f>
        <v/>
      </c>
      <c r="D57" s="29" t="str">
        <f>IF(COUNT(VLOOKUP($B57,Food!$B$2:$K$236,10,FALSE)&amp;"")=1,VLOOKUP($B57,Food!$B$2:$K$236,10,FALSE),"")</f>
        <v/>
      </c>
      <c r="E57" s="29" t="str">
        <f>IF(COUNT(VLOOKUP($B57,Housing!$B$2:$L$236,11,FALSE)&amp;"")=1,VLOOKUP($B57,Housing!$B$2:$L$236,11,FALSE),"")</f>
        <v/>
      </c>
      <c r="F57" s="29" t="str">
        <f>IF(COUNT(VLOOKUP($B57,Employment!$B$2:$M$236,12,FALSE)&amp;"")=1,VLOOKUP($B57,Employment!$B$2:$M$236,12,FALSE),"")</f>
        <v/>
      </c>
      <c r="G57" s="29" t="str">
        <f>IF(COUNT(VLOOKUP($B57,Education!$B$2:$L$236,11,FALSE)&amp;"")=1,VLOOKUP($B57,Education!$B$2:$L$236,11,FALSE),"")</f>
        <v/>
      </c>
      <c r="H57" s="29" t="str">
        <f>IF(COUNT(VLOOKUP($B57,Gender!$B$2:$K$236,10,FALSE)&amp;"")=1,VLOOKUP($B57,Gender!$B$2:$K$236,10,FALSE),"")</f>
        <v/>
      </c>
      <c r="I57" s="29" t="str">
        <f>IF(COUNT(VLOOKUP($B57,'Religious Freedom'!$B$2:$K$200,10,FALSE)&amp;"")=1,VLOOKUP($B57,'Religious Freedom'!$B$2:$K$200,10,FALSE),"")</f>
        <v/>
      </c>
    </row>
    <row r="58" ht="14.25" customHeight="1">
      <c r="A58" s="22" t="s">
        <v>109</v>
      </c>
      <c r="B58" s="22" t="s">
        <v>110</v>
      </c>
      <c r="C58" s="29" t="str">
        <f>IF(COUNT(VLOOKUP($B58,Water!$B$2:$L$235,11,FALSE)&amp;"")=1,(VLOOKUP($B58,Water!$B$2:$L$235,11,FALSE)),"")</f>
        <v/>
      </c>
      <c r="D58" s="29" t="str">
        <f>IF(COUNT(VLOOKUP($B58,Food!$B$2:$K$236,10,FALSE)&amp;"")=1,VLOOKUP($B58,Food!$B$2:$K$236,10,FALSE),"")</f>
        <v/>
      </c>
      <c r="E58" s="29" t="str">
        <f>IF(COUNT(VLOOKUP($B58,Housing!$B$2:$L$236,11,FALSE)&amp;"")=1,VLOOKUP($B58,Housing!$B$2:$L$236,11,FALSE),"")</f>
        <v/>
      </c>
      <c r="F58" s="29" t="str">
        <f>IF(COUNT(VLOOKUP($B58,Employment!$B$2:$M$236,12,FALSE)&amp;"")=1,VLOOKUP($B58,Employment!$B$2:$M$236,12,FALSE),"")</f>
        <v/>
      </c>
      <c r="G58" s="29" t="str">
        <f>IF(COUNT(VLOOKUP($B58,Education!$B$2:$L$236,11,FALSE)&amp;"")=1,VLOOKUP($B58,Education!$B$2:$L$236,11,FALSE),"")</f>
        <v/>
      </c>
      <c r="H58" s="29" t="str">
        <f>IF(COUNT(VLOOKUP($B58,Gender!$B$2:$K$236,10,FALSE)&amp;"")=1,VLOOKUP($B58,Gender!$B$2:$K$236,10,FALSE),"")</f>
        <v/>
      </c>
      <c r="I58" s="29" t="str">
        <f>IF(COUNT(VLOOKUP($B58,'Religious Freedom'!$B$2:$K$200,10,FALSE)&amp;"")=1,VLOOKUP($B58,'Religious Freedom'!$B$2:$K$200,10,FALSE),"")</f>
        <v/>
      </c>
    </row>
    <row r="59" ht="14.25" customHeight="1">
      <c r="A59" s="22" t="s">
        <v>111</v>
      </c>
      <c r="B59" s="22" t="s">
        <v>112</v>
      </c>
      <c r="C59" s="29" t="str">
        <f>IF(COUNT(VLOOKUP($B59,Water!$B$2:$L$235,11,FALSE)&amp;"")=1,(VLOOKUP($B59,Water!$B$2:$L$235,11,FALSE)),"")</f>
        <v/>
      </c>
      <c r="D59" s="29" t="str">
        <f>IF(COUNT(VLOOKUP($B59,Food!$B$2:$K$236,10,FALSE)&amp;"")=1,VLOOKUP($B59,Food!$B$2:$K$236,10,FALSE),"")</f>
        <v/>
      </c>
      <c r="E59" s="29" t="str">
        <f>IF(COUNT(VLOOKUP($B59,Housing!$B$2:$L$236,11,FALSE)&amp;"")=1,VLOOKUP($B59,Housing!$B$2:$L$236,11,FALSE),"")</f>
        <v/>
      </c>
      <c r="F59" s="29" t="str">
        <f>IF(COUNT(VLOOKUP($B59,Employment!$B$2:$M$236,12,FALSE)&amp;"")=1,VLOOKUP($B59,Employment!$B$2:$M$236,12,FALSE),"")</f>
        <v/>
      </c>
      <c r="G59" s="29" t="str">
        <f>IF(COUNT(VLOOKUP($B59,Education!$B$2:$L$236,11,FALSE)&amp;"")=1,VLOOKUP($B59,Education!$B$2:$L$236,11,FALSE),"")</f>
        <v/>
      </c>
      <c r="H59" s="29" t="str">
        <f>IF(COUNT(VLOOKUP($B59,Gender!$B$2:$K$236,10,FALSE)&amp;"")=1,VLOOKUP($B59,Gender!$B$2:$K$236,10,FALSE),"")</f>
        <v/>
      </c>
      <c r="I59" s="29" t="str">
        <f>IF(COUNT(VLOOKUP($B59,'Religious Freedom'!$B$2:$K$200,10,FALSE)&amp;"")=1,VLOOKUP($B59,'Religious Freedom'!$B$2:$K$200,10,FALSE),"")</f>
        <v/>
      </c>
    </row>
    <row r="60" ht="14.25" customHeight="1">
      <c r="A60" s="22" t="s">
        <v>113</v>
      </c>
      <c r="B60" s="22" t="s">
        <v>114</v>
      </c>
      <c r="C60" s="29" t="str">
        <f>IF(COUNT(VLOOKUP($B60,Water!$B$2:$L$235,11,FALSE)&amp;"")=1,(VLOOKUP($B60,Water!$B$2:$L$235,11,FALSE)),"")</f>
        <v/>
      </c>
      <c r="D60" s="29" t="str">
        <f>IF(COUNT(VLOOKUP($B60,Food!$B$2:$K$236,10,FALSE)&amp;"")=1,VLOOKUP($B60,Food!$B$2:$K$236,10,FALSE),"")</f>
        <v/>
      </c>
      <c r="E60" s="29" t="str">
        <f>IF(COUNT(VLOOKUP($B60,Housing!$B$2:$L$236,11,FALSE)&amp;"")=1,VLOOKUP($B60,Housing!$B$2:$L$236,11,FALSE),"")</f>
        <v/>
      </c>
      <c r="F60" s="29" t="str">
        <f>IF(COUNT(VLOOKUP($B60,Employment!$B$2:$M$236,12,FALSE)&amp;"")=1,VLOOKUP($B60,Employment!$B$2:$M$236,12,FALSE),"")</f>
        <v/>
      </c>
      <c r="G60" s="29" t="str">
        <f>IF(COUNT(VLOOKUP($B60,Education!$B$2:$L$236,11,FALSE)&amp;"")=1,VLOOKUP($B60,Education!$B$2:$L$236,11,FALSE),"")</f>
        <v/>
      </c>
      <c r="H60" s="29" t="str">
        <f>IF(COUNT(VLOOKUP($B60,Gender!$B$2:$K$236,10,FALSE)&amp;"")=1,VLOOKUP($B60,Gender!$B$2:$K$236,10,FALSE),"")</f>
        <v/>
      </c>
      <c r="I60" s="29" t="str">
        <f>IF(COUNT(VLOOKUP($B60,'Religious Freedom'!$B$2:$K$200,10,FALSE)&amp;"")=1,VLOOKUP($B60,'Religious Freedom'!$B$2:$K$200,10,FALSE),"")</f>
        <v/>
      </c>
    </row>
    <row r="61" ht="14.25" customHeight="1">
      <c r="A61" s="22" t="s">
        <v>115</v>
      </c>
      <c r="B61" s="22" t="s">
        <v>116</v>
      </c>
      <c r="C61" s="29" t="str">
        <f>IF(COUNT(VLOOKUP($B61,Water!$B$2:$L$235,11,FALSE)&amp;"")=1,(VLOOKUP($B61,Water!$B$2:$L$235,11,FALSE)),"")</f>
        <v/>
      </c>
      <c r="D61" s="29" t="str">
        <f>IF(COUNT(VLOOKUP($B61,Food!$B$2:$K$236,10,FALSE)&amp;"")=1,VLOOKUP($B61,Food!$B$2:$K$236,10,FALSE),"")</f>
        <v/>
      </c>
      <c r="E61" s="29" t="str">
        <f>IF(COUNT(VLOOKUP($B61,Housing!$B$2:$L$236,11,FALSE)&amp;"")=1,VLOOKUP($B61,Housing!$B$2:$L$236,11,FALSE),"")</f>
        <v/>
      </c>
      <c r="F61" s="29" t="str">
        <f>IF(COUNT(VLOOKUP($B61,Employment!$B$2:$M$236,12,FALSE)&amp;"")=1,VLOOKUP($B61,Employment!$B$2:$M$236,12,FALSE),"")</f>
        <v/>
      </c>
      <c r="G61" s="29" t="str">
        <f>IF(COUNT(VLOOKUP($B61,Education!$B$2:$L$236,11,FALSE)&amp;"")=1,VLOOKUP($B61,Education!$B$2:$L$236,11,FALSE),"")</f>
        <v/>
      </c>
      <c r="H61" s="29" t="str">
        <f>IF(COUNT(VLOOKUP($B61,Gender!$B$2:$K$236,10,FALSE)&amp;"")=1,VLOOKUP($B61,Gender!$B$2:$K$236,10,FALSE),"")</f>
        <v/>
      </c>
      <c r="I61" s="29" t="str">
        <f>IF(COUNT(VLOOKUP($B61,'Religious Freedom'!$B$2:$K$200,10,FALSE)&amp;"")=1,VLOOKUP($B61,'Religious Freedom'!$B$2:$K$200,10,FALSE),"")</f>
        <v/>
      </c>
    </row>
    <row r="62" ht="14.25" customHeight="1">
      <c r="A62" s="22" t="s">
        <v>117</v>
      </c>
      <c r="B62" s="22" t="s">
        <v>118</v>
      </c>
      <c r="C62" s="29" t="str">
        <f>IF(COUNT(VLOOKUP($B62,Water!$B$2:$L$235,11,FALSE)&amp;"")=1,(VLOOKUP($B62,Water!$B$2:$L$235,11,FALSE)),"")</f>
        <v/>
      </c>
      <c r="D62" s="29" t="str">
        <f>IF(COUNT(VLOOKUP($B62,Food!$B$2:$K$236,10,FALSE)&amp;"")=1,VLOOKUP($B62,Food!$B$2:$K$236,10,FALSE),"")</f>
        <v/>
      </c>
      <c r="E62" s="29" t="str">
        <f>IF(COUNT(VLOOKUP($B62,Housing!$B$2:$L$236,11,FALSE)&amp;"")=1,VLOOKUP($B62,Housing!$B$2:$L$236,11,FALSE),"")</f>
        <v/>
      </c>
      <c r="F62" s="29" t="str">
        <f>IF(COUNT(VLOOKUP($B62,Employment!$B$2:$M$236,12,FALSE)&amp;"")=1,VLOOKUP($B62,Employment!$B$2:$M$236,12,FALSE),"")</f>
        <v/>
      </c>
      <c r="G62" s="29" t="str">
        <f>IF(COUNT(VLOOKUP($B62,Education!$B$2:$L$236,11,FALSE)&amp;"")=1,VLOOKUP($B62,Education!$B$2:$L$236,11,FALSE),"")</f>
        <v/>
      </c>
      <c r="H62" s="29" t="str">
        <f>IF(COUNT(VLOOKUP($B62,Gender!$B$2:$K$236,10,FALSE)&amp;"")=1,VLOOKUP($B62,Gender!$B$2:$K$236,10,FALSE),"")</f>
        <v/>
      </c>
      <c r="I62" s="29" t="str">
        <f>IF(COUNT(VLOOKUP($B62,'Religious Freedom'!$B$2:$K$200,10,FALSE)&amp;"")=1,VLOOKUP($B62,'Religious Freedom'!$B$2:$K$200,10,FALSE),"")</f>
        <v/>
      </c>
    </row>
    <row r="63" ht="14.25" customHeight="1">
      <c r="A63" s="22" t="s">
        <v>119</v>
      </c>
      <c r="B63" s="22" t="s">
        <v>120</v>
      </c>
      <c r="C63" s="29" t="str">
        <f>IF(COUNT(VLOOKUP($B63,Water!$B$2:$L$235,11,FALSE)&amp;"")=1,(VLOOKUP($B63,Water!$B$2:$L$235,11,FALSE)),"")</f>
        <v/>
      </c>
      <c r="D63" s="29" t="str">
        <f>IF(COUNT(VLOOKUP($B63,Food!$B$2:$K$236,10,FALSE)&amp;"")=1,VLOOKUP($B63,Food!$B$2:$K$236,10,FALSE),"")</f>
        <v/>
      </c>
      <c r="E63" s="29" t="str">
        <f>IF(COUNT(VLOOKUP($B63,Housing!$B$2:$L$236,11,FALSE)&amp;"")=1,VLOOKUP($B63,Housing!$B$2:$L$236,11,FALSE),"")</f>
        <v/>
      </c>
      <c r="F63" s="29" t="str">
        <f>IF(COUNT(VLOOKUP($B63,Employment!$B$2:$M$236,12,FALSE)&amp;"")=1,VLOOKUP($B63,Employment!$B$2:$M$236,12,FALSE),"")</f>
        <v/>
      </c>
      <c r="G63" s="29" t="str">
        <f>IF(COUNT(VLOOKUP($B63,Education!$B$2:$L$236,11,FALSE)&amp;"")=1,VLOOKUP($B63,Education!$B$2:$L$236,11,FALSE),"")</f>
        <v/>
      </c>
      <c r="H63" s="29" t="str">
        <f>IF(COUNT(VLOOKUP($B63,Gender!$B$2:$K$236,10,FALSE)&amp;"")=1,VLOOKUP($B63,Gender!$B$2:$K$236,10,FALSE),"")</f>
        <v/>
      </c>
      <c r="I63" s="29" t="str">
        <f>IF(COUNT(VLOOKUP($B63,'Religious Freedom'!$B$2:$K$200,10,FALSE)&amp;"")=1,VLOOKUP($B63,'Religious Freedom'!$B$2:$K$200,10,FALSE),"")</f>
        <v/>
      </c>
    </row>
    <row r="64" ht="14.25" customHeight="1">
      <c r="A64" s="22" t="s">
        <v>121</v>
      </c>
      <c r="B64" s="22" t="s">
        <v>122</v>
      </c>
      <c r="C64" s="29" t="str">
        <f>IF(COUNT(VLOOKUP($B64,Water!$B$2:$L$235,11,FALSE)&amp;"")=1,(VLOOKUP($B64,Water!$B$2:$L$235,11,FALSE)),"")</f>
        <v/>
      </c>
      <c r="D64" s="29" t="str">
        <f>IF(COUNT(VLOOKUP($B64,Food!$B$2:$K$236,10,FALSE)&amp;"")=1,VLOOKUP($B64,Food!$B$2:$K$236,10,FALSE),"")</f>
        <v/>
      </c>
      <c r="E64" s="29" t="str">
        <f>IF(COUNT(VLOOKUP($B64,Housing!$B$2:$L$236,11,FALSE)&amp;"")=1,VLOOKUP($B64,Housing!$B$2:$L$236,11,FALSE),"")</f>
        <v/>
      </c>
      <c r="F64" s="29" t="str">
        <f>IF(COUNT(VLOOKUP($B64,Employment!$B$2:$M$236,12,FALSE)&amp;"")=1,VLOOKUP($B64,Employment!$B$2:$M$236,12,FALSE),"")</f>
        <v/>
      </c>
      <c r="G64" s="29" t="str">
        <f>IF(COUNT(VLOOKUP($B64,Education!$B$2:$L$236,11,FALSE)&amp;"")=1,VLOOKUP($B64,Education!$B$2:$L$236,11,FALSE),"")</f>
        <v/>
      </c>
      <c r="H64" s="29" t="str">
        <f>IF(COUNT(VLOOKUP($B64,Gender!$B$2:$K$236,10,FALSE)&amp;"")=1,VLOOKUP($B64,Gender!$B$2:$K$236,10,FALSE),"")</f>
        <v/>
      </c>
      <c r="I64" s="29" t="str">
        <f>IF(COUNT(VLOOKUP($B64,'Religious Freedom'!$B$2:$K$200,10,FALSE)&amp;"")=1,VLOOKUP($B64,'Religious Freedom'!$B$2:$K$200,10,FALSE),"")</f>
        <v/>
      </c>
    </row>
    <row r="65" ht="14.25" customHeight="1">
      <c r="A65" s="22" t="s">
        <v>123</v>
      </c>
      <c r="B65" s="22" t="s">
        <v>124</v>
      </c>
      <c r="C65" s="29" t="str">
        <f>IF(COUNT(VLOOKUP($B65,Water!$B$2:$L$235,11,FALSE)&amp;"")=1,(VLOOKUP($B65,Water!$B$2:$L$235,11,FALSE)),"")</f>
        <v/>
      </c>
      <c r="D65" s="29" t="str">
        <f>IF(COUNT(VLOOKUP($B65,Food!$B$2:$K$236,10,FALSE)&amp;"")=1,VLOOKUP($B65,Food!$B$2:$K$236,10,FALSE),"")</f>
        <v/>
      </c>
      <c r="E65" s="29" t="str">
        <f>IF(COUNT(VLOOKUP($B65,Housing!$B$2:$L$236,11,FALSE)&amp;"")=1,VLOOKUP($B65,Housing!$B$2:$L$236,11,FALSE),"")</f>
        <v/>
      </c>
      <c r="F65" s="29" t="str">
        <f>IF(COUNT(VLOOKUP($B65,Employment!$B$2:$M$236,12,FALSE)&amp;"")=1,VLOOKUP($B65,Employment!$B$2:$M$236,12,FALSE),"")</f>
        <v/>
      </c>
      <c r="G65" s="29" t="str">
        <f>IF(COUNT(VLOOKUP($B65,Education!$B$2:$L$236,11,FALSE)&amp;"")=1,VLOOKUP($B65,Education!$B$2:$L$236,11,FALSE),"")</f>
        <v/>
      </c>
      <c r="H65" s="29" t="str">
        <f>IF(COUNT(VLOOKUP($B65,Gender!$B$2:$K$236,10,FALSE)&amp;"")=1,VLOOKUP($B65,Gender!$B$2:$K$236,10,FALSE),"")</f>
        <v/>
      </c>
      <c r="I65" s="29" t="str">
        <f>IF(COUNT(VLOOKUP($B65,'Religious Freedom'!$B$2:$K$200,10,FALSE)&amp;"")=1,VLOOKUP($B65,'Religious Freedom'!$B$2:$K$200,10,FALSE),"")</f>
        <v/>
      </c>
    </row>
    <row r="66" ht="14.25" customHeight="1">
      <c r="A66" s="22" t="s">
        <v>125</v>
      </c>
      <c r="B66" s="22" t="s">
        <v>126</v>
      </c>
      <c r="C66" s="29" t="str">
        <f>IF(COUNT(VLOOKUP($B66,Water!$B$2:$L$235,11,FALSE)&amp;"")=1,(VLOOKUP($B66,Water!$B$2:$L$235,11,FALSE)),"")</f>
        <v/>
      </c>
      <c r="D66" s="29" t="str">
        <f>IF(COUNT(VLOOKUP($B66,Food!$B$2:$K$236,10,FALSE)&amp;"")=1,VLOOKUP($B66,Food!$B$2:$K$236,10,FALSE),"")</f>
        <v/>
      </c>
      <c r="E66" s="29" t="str">
        <f>IF(COUNT(VLOOKUP($B66,Housing!$B$2:$L$236,11,FALSE)&amp;"")=1,VLOOKUP($B66,Housing!$B$2:$L$236,11,FALSE),"")</f>
        <v/>
      </c>
      <c r="F66" s="29" t="str">
        <f>IF(COUNT(VLOOKUP($B66,Employment!$B$2:$M$236,12,FALSE)&amp;"")=1,VLOOKUP($B66,Employment!$B$2:$M$236,12,FALSE),"")</f>
        <v/>
      </c>
      <c r="G66" s="29" t="str">
        <f>IF(COUNT(VLOOKUP($B66,Education!$B$2:$L$236,11,FALSE)&amp;"")=1,VLOOKUP($B66,Education!$B$2:$L$236,11,FALSE),"")</f>
        <v/>
      </c>
      <c r="H66" s="29" t="str">
        <f>IF(COUNT(VLOOKUP($B66,Gender!$B$2:$K$236,10,FALSE)&amp;"")=1,VLOOKUP($B66,Gender!$B$2:$K$236,10,FALSE),"")</f>
        <v/>
      </c>
      <c r="I66" s="29" t="str">
        <f>IF(COUNT(VLOOKUP($B66,'Religious Freedom'!$B$2:$K$200,10,FALSE)&amp;"")=1,VLOOKUP($B66,'Religious Freedom'!$B$2:$K$200,10,FALSE),"")</f>
        <v/>
      </c>
    </row>
    <row r="67" ht="14.25" customHeight="1">
      <c r="A67" s="22" t="s">
        <v>127</v>
      </c>
      <c r="B67" s="22" t="s">
        <v>128</v>
      </c>
      <c r="C67" s="29" t="str">
        <f>IF(COUNT(VLOOKUP($B67,Water!$B$2:$L$235,11,FALSE)&amp;"")=1,(VLOOKUP($B67,Water!$B$2:$L$235,11,FALSE)),"")</f>
        <v/>
      </c>
      <c r="D67" s="29" t="str">
        <f>IF(COUNT(VLOOKUP($B67,Food!$B$2:$K$236,10,FALSE)&amp;"")=1,VLOOKUP($B67,Food!$B$2:$K$236,10,FALSE),"")</f>
        <v/>
      </c>
      <c r="E67" s="29" t="str">
        <f>IF(COUNT(VLOOKUP($B67,Housing!$B$2:$L$236,11,FALSE)&amp;"")=1,VLOOKUP($B67,Housing!$B$2:$L$236,11,FALSE),"")</f>
        <v/>
      </c>
      <c r="F67" s="29" t="str">
        <f>IF(COUNT(VLOOKUP($B67,Employment!$B$2:$M$236,12,FALSE)&amp;"")=1,VLOOKUP($B67,Employment!$B$2:$M$236,12,FALSE),"")</f>
        <v/>
      </c>
      <c r="G67" s="29" t="str">
        <f>IF(COUNT(VLOOKUP($B67,Education!$B$2:$L$236,11,FALSE)&amp;"")=1,VLOOKUP($B67,Education!$B$2:$L$236,11,FALSE),"")</f>
        <v/>
      </c>
      <c r="H67" s="29" t="str">
        <f>IF(COUNT(VLOOKUP($B67,Gender!$B$2:$K$236,10,FALSE)&amp;"")=1,VLOOKUP($B67,Gender!$B$2:$K$236,10,FALSE),"")</f>
        <v/>
      </c>
      <c r="I67" s="29" t="str">
        <f>IF(COUNT(VLOOKUP($B67,'Religious Freedom'!$B$2:$K$200,10,FALSE)&amp;"")=1,VLOOKUP($B67,'Religious Freedom'!$B$2:$K$200,10,FALSE),"")</f>
        <v/>
      </c>
    </row>
    <row r="68" ht="14.25" customHeight="1">
      <c r="A68" s="22" t="s">
        <v>129</v>
      </c>
      <c r="B68" s="22" t="s">
        <v>130</v>
      </c>
      <c r="C68" s="29" t="str">
        <f>IF(COUNT(VLOOKUP($B68,Water!$B$2:$L$235,11,FALSE)&amp;"")=1,(VLOOKUP($B68,Water!$B$2:$L$235,11,FALSE)),"")</f>
        <v/>
      </c>
      <c r="D68" s="29" t="str">
        <f>IF(COUNT(VLOOKUP($B68,Food!$B$2:$K$236,10,FALSE)&amp;"")=1,VLOOKUP($B68,Food!$B$2:$K$236,10,FALSE),"")</f>
        <v/>
      </c>
      <c r="E68" s="29" t="str">
        <f>IF(COUNT(VLOOKUP($B68,Housing!$B$2:$L$236,11,FALSE)&amp;"")=1,VLOOKUP($B68,Housing!$B$2:$L$236,11,FALSE),"")</f>
        <v/>
      </c>
      <c r="F68" s="29" t="str">
        <f>IF(COUNT(VLOOKUP($B68,Employment!$B$2:$M$236,12,FALSE)&amp;"")=1,VLOOKUP($B68,Employment!$B$2:$M$236,12,FALSE),"")</f>
        <v/>
      </c>
      <c r="G68" s="29" t="str">
        <f>IF(COUNT(VLOOKUP($B68,Education!$B$2:$L$236,11,FALSE)&amp;"")=1,VLOOKUP($B68,Education!$B$2:$L$236,11,FALSE),"")</f>
        <v/>
      </c>
      <c r="H68" s="29" t="str">
        <f>IF(COUNT(VLOOKUP($B68,Gender!$B$2:$K$236,10,FALSE)&amp;"")=1,VLOOKUP($B68,Gender!$B$2:$K$236,10,FALSE),"")</f>
        <v/>
      </c>
      <c r="I68" s="29" t="str">
        <f>IF(COUNT(VLOOKUP($B68,'Religious Freedom'!$B$2:$K$200,10,FALSE)&amp;"")=1,VLOOKUP($B68,'Religious Freedom'!$B$2:$K$200,10,FALSE),"")</f>
        <v/>
      </c>
    </row>
    <row r="69" ht="14.25" customHeight="1">
      <c r="A69" s="22" t="s">
        <v>131</v>
      </c>
      <c r="B69" s="22" t="s">
        <v>132</v>
      </c>
      <c r="C69" s="29" t="str">
        <f>IF(COUNT(VLOOKUP($B69,Water!$B$2:$L$235,11,FALSE)&amp;"")=1,(VLOOKUP($B69,Water!$B$2:$L$235,11,FALSE)),"")</f>
        <v/>
      </c>
      <c r="D69" s="29" t="str">
        <f>IF(COUNT(VLOOKUP($B69,Food!$B$2:$K$236,10,FALSE)&amp;"")=1,VLOOKUP($B69,Food!$B$2:$K$236,10,FALSE),"")</f>
        <v/>
      </c>
      <c r="E69" s="29" t="str">
        <f>IF(COUNT(VLOOKUP($B69,Housing!$B$2:$L$236,11,FALSE)&amp;"")=1,VLOOKUP($B69,Housing!$B$2:$L$236,11,FALSE),"")</f>
        <v/>
      </c>
      <c r="F69" s="29" t="str">
        <f>IF(COUNT(VLOOKUP($B69,Employment!$B$2:$M$236,12,FALSE)&amp;"")=1,VLOOKUP($B69,Employment!$B$2:$M$236,12,FALSE),"")</f>
        <v/>
      </c>
      <c r="G69" s="29" t="str">
        <f>IF(COUNT(VLOOKUP($B69,Education!$B$2:$L$236,11,FALSE)&amp;"")=1,VLOOKUP($B69,Education!$B$2:$L$236,11,FALSE),"")</f>
        <v/>
      </c>
      <c r="H69" s="29" t="str">
        <f>IF(COUNT(VLOOKUP($B69,Gender!$B$2:$K$236,10,FALSE)&amp;"")=1,VLOOKUP($B69,Gender!$B$2:$K$236,10,FALSE),"")</f>
        <v/>
      </c>
      <c r="I69" s="29" t="str">
        <f>IF(COUNT(VLOOKUP($B69,'Religious Freedom'!$B$2:$K$200,10,FALSE)&amp;"")=1,VLOOKUP($B69,'Religious Freedom'!$B$2:$K$200,10,FALSE),"")</f>
        <v/>
      </c>
    </row>
    <row r="70" ht="14.25" customHeight="1">
      <c r="A70" s="22" t="s">
        <v>133</v>
      </c>
      <c r="B70" s="22" t="s">
        <v>134</v>
      </c>
      <c r="C70" s="29" t="str">
        <f>IF(COUNT(VLOOKUP($B70,Water!$B$2:$L$235,11,FALSE)&amp;"")=1,(VLOOKUP($B70,Water!$B$2:$L$235,11,FALSE)),"")</f>
        <v/>
      </c>
      <c r="D70" s="29" t="str">
        <f>IF(COUNT(VLOOKUP($B70,Food!$B$2:$K$236,10,FALSE)&amp;"")=1,VLOOKUP($B70,Food!$B$2:$K$236,10,FALSE),"")</f>
        <v/>
      </c>
      <c r="E70" s="29" t="str">
        <f>IF(COUNT(VLOOKUP($B70,Housing!$B$2:$L$236,11,FALSE)&amp;"")=1,VLOOKUP($B70,Housing!$B$2:$L$236,11,FALSE),"")</f>
        <v/>
      </c>
      <c r="F70" s="29" t="str">
        <f>IF(COUNT(VLOOKUP($B70,Employment!$B$2:$M$236,12,FALSE)&amp;"")=1,VLOOKUP($B70,Employment!$B$2:$M$236,12,FALSE),"")</f>
        <v/>
      </c>
      <c r="G70" s="29" t="str">
        <f>IF(COUNT(VLOOKUP($B70,Education!$B$2:$L$236,11,FALSE)&amp;"")=1,VLOOKUP($B70,Education!$B$2:$L$236,11,FALSE),"")</f>
        <v/>
      </c>
      <c r="H70" s="29" t="str">
        <f>IF(COUNT(VLOOKUP($B70,Gender!$B$2:$K$236,10,FALSE)&amp;"")=1,VLOOKUP($B70,Gender!$B$2:$K$236,10,FALSE),"")</f>
        <v/>
      </c>
      <c r="I70" s="29" t="str">
        <f>IF(COUNT(VLOOKUP($B70,'Religious Freedom'!$B$2:$K$200,10,FALSE)&amp;"")=1,VLOOKUP($B70,'Religious Freedom'!$B$2:$K$200,10,FALSE),"")</f>
        <v/>
      </c>
    </row>
    <row r="71" ht="14.25" customHeight="1">
      <c r="A71" s="22" t="s">
        <v>135</v>
      </c>
      <c r="B71" s="22" t="s">
        <v>136</v>
      </c>
      <c r="C71" s="29" t="str">
        <f>IF(COUNT(VLOOKUP($B71,Water!$B$2:$L$235,11,FALSE)&amp;"")=1,(VLOOKUP($B71,Water!$B$2:$L$235,11,FALSE)),"")</f>
        <v/>
      </c>
      <c r="D71" s="29" t="str">
        <f>IF(COUNT(VLOOKUP($B71,Food!$B$2:$K$236,10,FALSE)&amp;"")=1,VLOOKUP($B71,Food!$B$2:$K$236,10,FALSE),"")</f>
        <v/>
      </c>
      <c r="E71" s="29" t="str">
        <f>IF(COUNT(VLOOKUP($B71,Housing!$B$2:$L$236,11,FALSE)&amp;"")=1,VLOOKUP($B71,Housing!$B$2:$L$236,11,FALSE),"")</f>
        <v/>
      </c>
      <c r="F71" s="29" t="str">
        <f>IF(COUNT(VLOOKUP($B71,Employment!$B$2:$M$236,12,FALSE)&amp;"")=1,VLOOKUP($B71,Employment!$B$2:$M$236,12,FALSE),"")</f>
        <v/>
      </c>
      <c r="G71" s="29" t="str">
        <f>IF(COUNT(VLOOKUP($B71,Education!$B$2:$L$236,11,FALSE)&amp;"")=1,VLOOKUP($B71,Education!$B$2:$L$236,11,FALSE),"")</f>
        <v/>
      </c>
      <c r="H71" s="29" t="str">
        <f>IF(COUNT(VLOOKUP($B71,Gender!$B$2:$K$236,10,FALSE)&amp;"")=1,VLOOKUP($B71,Gender!$B$2:$K$236,10,FALSE),"")</f>
        <v/>
      </c>
      <c r="I71" s="29" t="str">
        <f>IF(COUNT(VLOOKUP($B71,'Religious Freedom'!$B$2:$K$200,10,FALSE)&amp;"")=1,VLOOKUP($B71,'Religious Freedom'!$B$2:$K$200,10,FALSE),"")</f>
        <v/>
      </c>
    </row>
    <row r="72" ht="14.25" customHeight="1">
      <c r="A72" s="22" t="s">
        <v>137</v>
      </c>
      <c r="B72" s="22" t="s">
        <v>138</v>
      </c>
      <c r="C72" s="29" t="str">
        <f>IF(COUNT(VLOOKUP($B72,Water!$B$2:$L$235,11,FALSE)&amp;"")=1,(VLOOKUP($B72,Water!$B$2:$L$235,11,FALSE)),"")</f>
        <v/>
      </c>
      <c r="D72" s="29" t="str">
        <f>IF(COUNT(VLOOKUP($B72,Food!$B$2:$K$236,10,FALSE)&amp;"")=1,VLOOKUP($B72,Food!$B$2:$K$236,10,FALSE),"")</f>
        <v/>
      </c>
      <c r="E72" s="29" t="str">
        <f>IF(COUNT(VLOOKUP($B72,Housing!$B$2:$L$236,11,FALSE)&amp;"")=1,VLOOKUP($B72,Housing!$B$2:$L$236,11,FALSE),"")</f>
        <v/>
      </c>
      <c r="F72" s="29" t="str">
        <f>IF(COUNT(VLOOKUP($B72,Employment!$B$2:$M$236,12,FALSE)&amp;"")=1,VLOOKUP($B72,Employment!$B$2:$M$236,12,FALSE),"")</f>
        <v/>
      </c>
      <c r="G72" s="29" t="str">
        <f>IF(COUNT(VLOOKUP($B72,Education!$B$2:$L$236,11,FALSE)&amp;"")=1,VLOOKUP($B72,Education!$B$2:$L$236,11,FALSE),"")</f>
        <v/>
      </c>
      <c r="H72" s="29" t="str">
        <f>IF(COUNT(VLOOKUP($B72,Gender!$B$2:$K$236,10,FALSE)&amp;"")=1,VLOOKUP($B72,Gender!$B$2:$K$236,10,FALSE),"")</f>
        <v/>
      </c>
      <c r="I72" s="29" t="str">
        <f>IF(COUNT(VLOOKUP($B72,'Religious Freedom'!$B$2:$K$200,10,FALSE)&amp;"")=1,VLOOKUP($B72,'Religious Freedom'!$B$2:$K$200,10,FALSE),"")</f>
        <v/>
      </c>
    </row>
    <row r="73" ht="14.25" customHeight="1">
      <c r="A73" s="22" t="s">
        <v>139</v>
      </c>
      <c r="B73" s="22" t="s">
        <v>140</v>
      </c>
      <c r="C73" s="29" t="str">
        <f>IF(COUNT(VLOOKUP($B73,Water!$B$2:$L$235,11,FALSE)&amp;"")=1,(VLOOKUP($B73,Water!$B$2:$L$235,11,FALSE)),"")</f>
        <v/>
      </c>
      <c r="D73" s="29" t="str">
        <f>IF(COUNT(VLOOKUP($B73,Food!$B$2:$K$236,10,FALSE)&amp;"")=1,VLOOKUP($B73,Food!$B$2:$K$236,10,FALSE),"")</f>
        <v/>
      </c>
      <c r="E73" s="29" t="str">
        <f>IF(COUNT(VLOOKUP($B73,Housing!$B$2:$L$236,11,FALSE)&amp;"")=1,VLOOKUP($B73,Housing!$B$2:$L$236,11,FALSE),"")</f>
        <v/>
      </c>
      <c r="F73" s="29" t="str">
        <f>IF(COUNT(VLOOKUP($B73,Employment!$B$2:$M$236,12,FALSE)&amp;"")=1,VLOOKUP($B73,Employment!$B$2:$M$236,12,FALSE),"")</f>
        <v/>
      </c>
      <c r="G73" s="29" t="str">
        <f>IF(COUNT(VLOOKUP($B73,Education!$B$2:$L$236,11,FALSE)&amp;"")=1,VLOOKUP($B73,Education!$B$2:$L$236,11,FALSE),"")</f>
        <v/>
      </c>
      <c r="H73" s="29" t="str">
        <f>IF(COUNT(VLOOKUP($B73,Gender!$B$2:$K$236,10,FALSE)&amp;"")=1,VLOOKUP($B73,Gender!$B$2:$K$236,10,FALSE),"")</f>
        <v/>
      </c>
      <c r="I73" s="29" t="str">
        <f>IF(COUNT(VLOOKUP($B73,'Religious Freedom'!$B$2:$K$200,10,FALSE)&amp;"")=1,VLOOKUP($B73,'Religious Freedom'!$B$2:$K$200,10,FALSE),"")</f>
        <v/>
      </c>
    </row>
    <row r="74" ht="14.25" customHeight="1">
      <c r="A74" s="22" t="s">
        <v>141</v>
      </c>
      <c r="B74" s="22" t="s">
        <v>142</v>
      </c>
      <c r="C74" s="29" t="str">
        <f>IF(COUNT(VLOOKUP($B74,Water!$B$2:$L$235,11,FALSE)&amp;"")=1,(VLOOKUP($B74,Water!$B$2:$L$235,11,FALSE)),"")</f>
        <v/>
      </c>
      <c r="D74" s="29" t="str">
        <f>IF(COUNT(VLOOKUP($B74,Food!$B$2:$K$236,10,FALSE)&amp;"")=1,VLOOKUP($B74,Food!$B$2:$K$236,10,FALSE),"")</f>
        <v/>
      </c>
      <c r="E74" s="29" t="str">
        <f>IF(COUNT(VLOOKUP($B74,Housing!$B$2:$L$236,11,FALSE)&amp;"")=1,VLOOKUP($B74,Housing!$B$2:$L$236,11,FALSE),"")</f>
        <v/>
      </c>
      <c r="F74" s="29" t="str">
        <f>IF(COUNT(VLOOKUP($B74,Employment!$B$2:$M$236,12,FALSE)&amp;"")=1,VLOOKUP($B74,Employment!$B$2:$M$236,12,FALSE),"")</f>
        <v/>
      </c>
      <c r="G74" s="29" t="str">
        <f>IF(COUNT(VLOOKUP($B74,Education!$B$2:$L$236,11,FALSE)&amp;"")=1,VLOOKUP($B74,Education!$B$2:$L$236,11,FALSE),"")</f>
        <v/>
      </c>
      <c r="H74" s="29" t="str">
        <f>IF(COUNT(VLOOKUP($B74,Gender!$B$2:$K$236,10,FALSE)&amp;"")=1,VLOOKUP($B74,Gender!$B$2:$K$236,10,FALSE),"")</f>
        <v/>
      </c>
      <c r="I74" s="29" t="str">
        <f>IF(COUNT(VLOOKUP($B74,'Religious Freedom'!$B$2:$K$200,10,FALSE)&amp;"")=1,VLOOKUP($B74,'Religious Freedom'!$B$2:$K$200,10,FALSE),"")</f>
        <v/>
      </c>
    </row>
    <row r="75" ht="14.25" customHeight="1">
      <c r="A75" s="22" t="s">
        <v>143</v>
      </c>
      <c r="B75" s="22" t="s">
        <v>144</v>
      </c>
      <c r="C75" s="29" t="str">
        <f>IF(COUNT(VLOOKUP($B75,Water!$B$2:$L$235,11,FALSE)&amp;"")=1,(VLOOKUP($B75,Water!$B$2:$L$235,11,FALSE)),"")</f>
        <v/>
      </c>
      <c r="D75" s="29" t="str">
        <f>IF(COUNT(VLOOKUP($B75,Food!$B$2:$K$236,10,FALSE)&amp;"")=1,VLOOKUP($B75,Food!$B$2:$K$236,10,FALSE),"")</f>
        <v/>
      </c>
      <c r="E75" s="29" t="str">
        <f>IF(COUNT(VLOOKUP($B75,Housing!$B$2:$L$236,11,FALSE)&amp;"")=1,VLOOKUP($B75,Housing!$B$2:$L$236,11,FALSE),"")</f>
        <v/>
      </c>
      <c r="F75" s="29" t="str">
        <f>IF(COUNT(VLOOKUP($B75,Employment!$B$2:$M$236,12,FALSE)&amp;"")=1,VLOOKUP($B75,Employment!$B$2:$M$236,12,FALSE),"")</f>
        <v/>
      </c>
      <c r="G75" s="29" t="str">
        <f>IF(COUNT(VLOOKUP($B75,Education!$B$2:$L$236,11,FALSE)&amp;"")=1,VLOOKUP($B75,Education!$B$2:$L$236,11,FALSE),"")</f>
        <v/>
      </c>
      <c r="H75" s="29" t="str">
        <f>IF(COUNT(VLOOKUP($B75,Gender!$B$2:$K$236,10,FALSE)&amp;"")=1,VLOOKUP($B75,Gender!$B$2:$K$236,10,FALSE),"")</f>
        <v/>
      </c>
      <c r="I75" s="29" t="str">
        <f>IF(COUNT(VLOOKUP($B75,'Religious Freedom'!$B$2:$K$200,10,FALSE)&amp;"")=1,VLOOKUP($B75,'Religious Freedom'!$B$2:$K$200,10,FALSE),"")</f>
        <v/>
      </c>
    </row>
    <row r="76" ht="14.25" customHeight="1">
      <c r="A76" s="22" t="s">
        <v>145</v>
      </c>
      <c r="B76" s="22" t="s">
        <v>146</v>
      </c>
      <c r="C76" s="29" t="str">
        <f>IF(COUNT(VLOOKUP($B76,Water!$B$2:$L$235,11,FALSE)&amp;"")=1,(VLOOKUP($B76,Water!$B$2:$L$235,11,FALSE)),"")</f>
        <v/>
      </c>
      <c r="D76" s="29" t="str">
        <f>IF(COUNT(VLOOKUP($B76,Food!$B$2:$K$236,10,FALSE)&amp;"")=1,VLOOKUP($B76,Food!$B$2:$K$236,10,FALSE),"")</f>
        <v/>
      </c>
      <c r="E76" s="29" t="str">
        <f>IF(COUNT(VLOOKUP($B76,Housing!$B$2:$L$236,11,FALSE)&amp;"")=1,VLOOKUP($B76,Housing!$B$2:$L$236,11,FALSE),"")</f>
        <v/>
      </c>
      <c r="F76" s="29" t="str">
        <f>IF(COUNT(VLOOKUP($B76,Employment!$B$2:$M$236,12,FALSE)&amp;"")=1,VLOOKUP($B76,Employment!$B$2:$M$236,12,FALSE),"")</f>
        <v/>
      </c>
      <c r="G76" s="29" t="str">
        <f>IF(COUNT(VLOOKUP($B76,Education!$B$2:$L$236,11,FALSE)&amp;"")=1,VLOOKUP($B76,Education!$B$2:$L$236,11,FALSE),"")</f>
        <v/>
      </c>
      <c r="H76" s="29" t="str">
        <f>IF(COUNT(VLOOKUP($B76,Gender!$B$2:$K$236,10,FALSE)&amp;"")=1,VLOOKUP($B76,Gender!$B$2:$K$236,10,FALSE),"")</f>
        <v/>
      </c>
      <c r="I76" s="29" t="str">
        <f>IF(COUNT(VLOOKUP($B76,'Religious Freedom'!$B$2:$K$200,10,FALSE)&amp;"")=1,VLOOKUP($B76,'Religious Freedom'!$B$2:$K$200,10,FALSE),"")</f>
        <v/>
      </c>
    </row>
    <row r="77" ht="14.25" customHeight="1">
      <c r="A77" s="22" t="s">
        <v>147</v>
      </c>
      <c r="B77" s="22" t="s">
        <v>148</v>
      </c>
      <c r="C77" s="29" t="str">
        <f>IF(COUNT(VLOOKUP($B77,Water!$B$2:$L$235,11,FALSE)&amp;"")=1,(VLOOKUP($B77,Water!$B$2:$L$235,11,FALSE)),"")</f>
        <v/>
      </c>
      <c r="D77" s="29" t="str">
        <f>IF(COUNT(VLOOKUP($B77,Food!$B$2:$K$236,10,FALSE)&amp;"")=1,VLOOKUP($B77,Food!$B$2:$K$236,10,FALSE),"")</f>
        <v/>
      </c>
      <c r="E77" s="29" t="str">
        <f>IF(COUNT(VLOOKUP($B77,Housing!$B$2:$L$236,11,FALSE)&amp;"")=1,VLOOKUP($B77,Housing!$B$2:$L$236,11,FALSE),"")</f>
        <v/>
      </c>
      <c r="F77" s="29" t="str">
        <f>IF(COUNT(VLOOKUP($B77,Employment!$B$2:$M$236,12,FALSE)&amp;"")=1,VLOOKUP($B77,Employment!$B$2:$M$236,12,FALSE),"")</f>
        <v/>
      </c>
      <c r="G77" s="29" t="str">
        <f>IF(COUNT(VLOOKUP($B77,Education!$B$2:$L$236,11,FALSE)&amp;"")=1,VLOOKUP($B77,Education!$B$2:$L$236,11,FALSE),"")</f>
        <v/>
      </c>
      <c r="H77" s="29" t="str">
        <f>IF(COUNT(VLOOKUP($B77,Gender!$B$2:$K$236,10,FALSE)&amp;"")=1,VLOOKUP($B77,Gender!$B$2:$K$236,10,FALSE),"")</f>
        <v/>
      </c>
      <c r="I77" s="29" t="str">
        <f>IF(COUNT(VLOOKUP($B77,'Religious Freedom'!$B$2:$K$200,10,FALSE)&amp;"")=1,VLOOKUP($B77,'Religious Freedom'!$B$2:$K$200,10,FALSE),"")</f>
        <v/>
      </c>
    </row>
    <row r="78" ht="14.25" customHeight="1">
      <c r="A78" s="22" t="s">
        <v>149</v>
      </c>
      <c r="B78" s="22" t="s">
        <v>150</v>
      </c>
      <c r="C78" s="29" t="str">
        <f>IF(COUNT(VLOOKUP($B78,Water!$B$2:$L$235,11,FALSE)&amp;"")=1,(VLOOKUP($B78,Water!$B$2:$L$235,11,FALSE)),"")</f>
        <v/>
      </c>
      <c r="D78" s="29" t="str">
        <f>IF(COUNT(VLOOKUP($B78,Food!$B$2:$K$236,10,FALSE)&amp;"")=1,VLOOKUP($B78,Food!$B$2:$K$236,10,FALSE),"")</f>
        <v/>
      </c>
      <c r="E78" s="29" t="str">
        <f>IF(COUNT(VLOOKUP($B78,Housing!$B$2:$L$236,11,FALSE)&amp;"")=1,VLOOKUP($B78,Housing!$B$2:$L$236,11,FALSE),"")</f>
        <v/>
      </c>
      <c r="F78" s="29" t="str">
        <f>IF(COUNT(VLOOKUP($B78,Employment!$B$2:$M$236,12,FALSE)&amp;"")=1,VLOOKUP($B78,Employment!$B$2:$M$236,12,FALSE),"")</f>
        <v/>
      </c>
      <c r="G78" s="29" t="str">
        <f>IF(COUNT(VLOOKUP($B78,Education!$B$2:$L$236,11,FALSE)&amp;"")=1,VLOOKUP($B78,Education!$B$2:$L$236,11,FALSE),"")</f>
        <v/>
      </c>
      <c r="H78" s="29" t="str">
        <f>IF(COUNT(VLOOKUP($B78,Gender!$B$2:$K$236,10,FALSE)&amp;"")=1,VLOOKUP($B78,Gender!$B$2:$K$236,10,FALSE),"")</f>
        <v/>
      </c>
      <c r="I78" s="29" t="str">
        <f>IF(COUNT(VLOOKUP($B78,'Religious Freedom'!$B$2:$K$200,10,FALSE)&amp;"")=1,VLOOKUP($B78,'Religious Freedom'!$B$2:$K$200,10,FALSE),"")</f>
        <v/>
      </c>
    </row>
    <row r="79" ht="14.25" customHeight="1">
      <c r="A79" s="22" t="s">
        <v>151</v>
      </c>
      <c r="B79" s="22" t="s">
        <v>152</v>
      </c>
      <c r="C79" s="29" t="str">
        <f>IF(COUNT(VLOOKUP($B79,Water!$B$2:$L$235,11,FALSE)&amp;"")=1,(VLOOKUP($B79,Water!$B$2:$L$235,11,FALSE)),"")</f>
        <v/>
      </c>
      <c r="D79" s="29" t="str">
        <f>IF(COUNT(VLOOKUP($B79,Food!$B$2:$K$236,10,FALSE)&amp;"")=1,VLOOKUP($B79,Food!$B$2:$K$236,10,FALSE),"")</f>
        <v/>
      </c>
      <c r="E79" s="29" t="str">
        <f>IF(COUNT(VLOOKUP($B79,Housing!$B$2:$L$236,11,FALSE)&amp;"")=1,VLOOKUP($B79,Housing!$B$2:$L$236,11,FALSE),"")</f>
        <v/>
      </c>
      <c r="F79" s="29" t="str">
        <f>IF(COUNT(VLOOKUP($B79,Employment!$B$2:$M$236,12,FALSE)&amp;"")=1,VLOOKUP($B79,Employment!$B$2:$M$236,12,FALSE),"")</f>
        <v/>
      </c>
      <c r="G79" s="29" t="str">
        <f>IF(COUNT(VLOOKUP($B79,Education!$B$2:$L$236,11,FALSE)&amp;"")=1,VLOOKUP($B79,Education!$B$2:$L$236,11,FALSE),"")</f>
        <v/>
      </c>
      <c r="H79" s="29" t="str">
        <f>IF(COUNT(VLOOKUP($B79,Gender!$B$2:$K$236,10,FALSE)&amp;"")=1,VLOOKUP($B79,Gender!$B$2:$K$236,10,FALSE),"")</f>
        <v/>
      </c>
      <c r="I79" s="29" t="str">
        <f>IF(COUNT(VLOOKUP($B79,'Religious Freedom'!$B$2:$K$200,10,FALSE)&amp;"")=1,VLOOKUP($B79,'Religious Freedom'!$B$2:$K$200,10,FALSE),"")</f>
        <v/>
      </c>
    </row>
    <row r="80" ht="14.25" customHeight="1">
      <c r="A80" s="22" t="s">
        <v>153</v>
      </c>
      <c r="B80" s="22" t="s">
        <v>154</v>
      </c>
      <c r="C80" s="29" t="str">
        <f>IF(COUNT(VLOOKUP($B80,Water!$B$2:$L$235,11,FALSE)&amp;"")=1,(VLOOKUP($B80,Water!$B$2:$L$235,11,FALSE)),"")</f>
        <v/>
      </c>
      <c r="D80" s="29" t="str">
        <f>IF(COUNT(VLOOKUP($B80,Food!$B$2:$K$236,10,FALSE)&amp;"")=1,VLOOKUP($B80,Food!$B$2:$K$236,10,FALSE),"")</f>
        <v/>
      </c>
      <c r="E80" s="29" t="str">
        <f>IF(COUNT(VLOOKUP($B80,Housing!$B$2:$L$236,11,FALSE)&amp;"")=1,VLOOKUP($B80,Housing!$B$2:$L$236,11,FALSE),"")</f>
        <v/>
      </c>
      <c r="F80" s="29" t="str">
        <f>IF(COUNT(VLOOKUP($B80,Employment!$B$2:$M$236,12,FALSE)&amp;"")=1,VLOOKUP($B80,Employment!$B$2:$M$236,12,FALSE),"")</f>
        <v/>
      </c>
      <c r="G80" s="29" t="str">
        <f>IF(COUNT(VLOOKUP($B80,Education!$B$2:$L$236,11,FALSE)&amp;"")=1,VLOOKUP($B80,Education!$B$2:$L$236,11,FALSE),"")</f>
        <v/>
      </c>
      <c r="H80" s="29" t="str">
        <f>IF(COUNT(VLOOKUP($B80,Gender!$B$2:$K$236,10,FALSE)&amp;"")=1,VLOOKUP($B80,Gender!$B$2:$K$236,10,FALSE),"")</f>
        <v/>
      </c>
      <c r="I80" s="29" t="str">
        <f>IF(COUNT(VLOOKUP($B80,'Religious Freedom'!$B$2:$K$200,10,FALSE)&amp;"")=1,VLOOKUP($B80,'Religious Freedom'!$B$2:$K$200,10,FALSE),"")</f>
        <v/>
      </c>
    </row>
    <row r="81" ht="14.25" customHeight="1">
      <c r="A81" s="22" t="s">
        <v>155</v>
      </c>
      <c r="B81" s="22" t="s">
        <v>156</v>
      </c>
      <c r="C81" s="29" t="str">
        <f>IF(COUNT(VLOOKUP($B81,Water!$B$2:$L$235,11,FALSE)&amp;"")=1,(VLOOKUP($B81,Water!$B$2:$L$235,11,FALSE)),"")</f>
        <v/>
      </c>
      <c r="D81" s="29" t="str">
        <f>IF(COUNT(VLOOKUP($B81,Food!$B$2:$K$236,10,FALSE)&amp;"")=1,VLOOKUP($B81,Food!$B$2:$K$236,10,FALSE),"")</f>
        <v/>
      </c>
      <c r="E81" s="29" t="str">
        <f>IF(COUNT(VLOOKUP($B81,Housing!$B$2:$L$236,11,FALSE)&amp;"")=1,VLOOKUP($B81,Housing!$B$2:$L$236,11,FALSE),"")</f>
        <v/>
      </c>
      <c r="F81" s="29" t="str">
        <f>IF(COUNT(VLOOKUP($B81,Employment!$B$2:$M$236,12,FALSE)&amp;"")=1,VLOOKUP($B81,Employment!$B$2:$M$236,12,FALSE),"")</f>
        <v/>
      </c>
      <c r="G81" s="29" t="str">
        <f>IF(COUNT(VLOOKUP($B81,Education!$B$2:$L$236,11,FALSE)&amp;"")=1,VLOOKUP($B81,Education!$B$2:$L$236,11,FALSE),"")</f>
        <v/>
      </c>
      <c r="H81" s="29" t="str">
        <f>IF(COUNT(VLOOKUP($B81,Gender!$B$2:$K$236,10,FALSE)&amp;"")=1,VLOOKUP($B81,Gender!$B$2:$K$236,10,FALSE),"")</f>
        <v/>
      </c>
      <c r="I81" s="29" t="str">
        <f>IF(COUNT(VLOOKUP($B81,'Religious Freedom'!$B$2:$K$200,10,FALSE)&amp;"")=1,VLOOKUP($B81,'Religious Freedom'!$B$2:$K$200,10,FALSE),"")</f>
        <v/>
      </c>
    </row>
    <row r="82" ht="14.25" customHeight="1">
      <c r="A82" s="22" t="s">
        <v>157</v>
      </c>
      <c r="B82" s="22" t="s">
        <v>158</v>
      </c>
      <c r="C82" s="29" t="str">
        <f>IF(COUNT(VLOOKUP($B82,Water!$B$2:$L$235,11,FALSE)&amp;"")=1,(VLOOKUP($B82,Water!$B$2:$L$235,11,FALSE)),"")</f>
        <v/>
      </c>
      <c r="D82" s="29" t="str">
        <f>IF(COUNT(VLOOKUP($B82,Food!$B$2:$K$236,10,FALSE)&amp;"")=1,VLOOKUP($B82,Food!$B$2:$K$236,10,FALSE),"")</f>
        <v/>
      </c>
      <c r="E82" s="29" t="str">
        <f>IF(COUNT(VLOOKUP($B82,Housing!$B$2:$L$236,11,FALSE)&amp;"")=1,VLOOKUP($B82,Housing!$B$2:$L$236,11,FALSE),"")</f>
        <v/>
      </c>
      <c r="F82" s="29" t="str">
        <f>IF(COUNT(VLOOKUP($B82,Employment!$B$2:$M$236,12,FALSE)&amp;"")=1,VLOOKUP($B82,Employment!$B$2:$M$236,12,FALSE),"")</f>
        <v/>
      </c>
      <c r="G82" s="29" t="str">
        <f>IF(COUNT(VLOOKUP($B82,Education!$B$2:$L$236,11,FALSE)&amp;"")=1,VLOOKUP($B82,Education!$B$2:$L$236,11,FALSE),"")</f>
        <v/>
      </c>
      <c r="H82" s="29" t="str">
        <f>IF(COUNT(VLOOKUP($B82,Gender!$B$2:$K$236,10,FALSE)&amp;"")=1,VLOOKUP($B82,Gender!$B$2:$K$236,10,FALSE),"")</f>
        <v/>
      </c>
      <c r="I82" s="29" t="str">
        <f>IF(COUNT(VLOOKUP($B82,'Religious Freedom'!$B$2:$K$200,10,FALSE)&amp;"")=1,VLOOKUP($B82,'Religious Freedom'!$B$2:$K$200,10,FALSE),"")</f>
        <v/>
      </c>
    </row>
    <row r="83" ht="14.25" customHeight="1">
      <c r="A83" s="22" t="s">
        <v>159</v>
      </c>
      <c r="B83" s="22" t="s">
        <v>160</v>
      </c>
      <c r="C83" s="29" t="str">
        <f>IF(COUNT(VLOOKUP($B83,Water!$B$2:$L$235,11,FALSE)&amp;"")=1,(VLOOKUP($B83,Water!$B$2:$L$235,11,FALSE)),"")</f>
        <v/>
      </c>
      <c r="D83" s="29" t="str">
        <f>IF(COUNT(VLOOKUP($B83,Food!$B$2:$K$236,10,FALSE)&amp;"")=1,VLOOKUP($B83,Food!$B$2:$K$236,10,FALSE),"")</f>
        <v/>
      </c>
      <c r="E83" s="29" t="str">
        <f>IF(COUNT(VLOOKUP($B83,Housing!$B$2:$L$236,11,FALSE)&amp;"")=1,VLOOKUP($B83,Housing!$B$2:$L$236,11,FALSE),"")</f>
        <v/>
      </c>
      <c r="F83" s="29" t="str">
        <f>IF(COUNT(VLOOKUP($B83,Employment!$B$2:$M$236,12,FALSE)&amp;"")=1,VLOOKUP($B83,Employment!$B$2:$M$236,12,FALSE),"")</f>
        <v/>
      </c>
      <c r="G83" s="29" t="str">
        <f>IF(COUNT(VLOOKUP($B83,Education!$B$2:$L$236,11,FALSE)&amp;"")=1,VLOOKUP($B83,Education!$B$2:$L$236,11,FALSE),"")</f>
        <v/>
      </c>
      <c r="H83" s="29" t="str">
        <f>IF(COUNT(VLOOKUP($B83,Gender!$B$2:$K$236,10,FALSE)&amp;"")=1,VLOOKUP($B83,Gender!$B$2:$K$236,10,FALSE),"")</f>
        <v/>
      </c>
      <c r="I83" s="29" t="str">
        <f>IF(COUNT(VLOOKUP($B83,'Religious Freedom'!$B$2:$K$200,10,FALSE)&amp;"")=1,VLOOKUP($B83,'Religious Freedom'!$B$2:$K$200,10,FALSE),"")</f>
        <v/>
      </c>
    </row>
    <row r="84" ht="14.25" customHeight="1">
      <c r="A84" s="22" t="s">
        <v>161</v>
      </c>
      <c r="B84" s="22" t="s">
        <v>162</v>
      </c>
      <c r="C84" s="29" t="str">
        <f>IF(COUNT(VLOOKUP($B84,Water!$B$2:$L$235,11,FALSE)&amp;"")=1,(VLOOKUP($B84,Water!$B$2:$L$235,11,FALSE)),"")</f>
        <v/>
      </c>
      <c r="D84" s="29" t="str">
        <f>IF(COUNT(VLOOKUP($B84,Food!$B$2:$K$236,10,FALSE)&amp;"")=1,VLOOKUP($B84,Food!$B$2:$K$236,10,FALSE),"")</f>
        <v/>
      </c>
      <c r="E84" s="29" t="str">
        <f>IF(COUNT(VLOOKUP($B84,Housing!$B$2:$L$236,11,FALSE)&amp;"")=1,VLOOKUP($B84,Housing!$B$2:$L$236,11,FALSE),"")</f>
        <v/>
      </c>
      <c r="F84" s="29" t="str">
        <f>IF(COUNT(VLOOKUP($B84,Employment!$B$2:$M$236,12,FALSE)&amp;"")=1,VLOOKUP($B84,Employment!$B$2:$M$236,12,FALSE),"")</f>
        <v/>
      </c>
      <c r="G84" s="29" t="str">
        <f>IF(COUNT(VLOOKUP($B84,Education!$B$2:$L$236,11,FALSE)&amp;"")=1,VLOOKUP($B84,Education!$B$2:$L$236,11,FALSE),"")</f>
        <v/>
      </c>
      <c r="H84" s="29" t="str">
        <f>IF(COUNT(VLOOKUP($B84,Gender!$B$2:$K$236,10,FALSE)&amp;"")=1,VLOOKUP($B84,Gender!$B$2:$K$236,10,FALSE),"")</f>
        <v/>
      </c>
      <c r="I84" s="29" t="str">
        <f>IF(COUNT(VLOOKUP($B84,'Religious Freedom'!$B$2:$K$200,10,FALSE)&amp;"")=1,VLOOKUP($B84,'Religious Freedom'!$B$2:$K$200,10,FALSE),"")</f>
        <v/>
      </c>
    </row>
    <row r="85" ht="14.25" customHeight="1">
      <c r="A85" s="22" t="s">
        <v>163</v>
      </c>
      <c r="B85" s="22" t="s">
        <v>164</v>
      </c>
      <c r="C85" s="29" t="str">
        <f>IF(COUNT(VLOOKUP($B85,Water!$B$2:$L$235,11,FALSE)&amp;"")=1,(VLOOKUP($B85,Water!$B$2:$L$235,11,FALSE)),"")</f>
        <v/>
      </c>
      <c r="D85" s="29" t="str">
        <f>IF(COUNT(VLOOKUP($B85,Food!$B$2:$K$236,10,FALSE)&amp;"")=1,VLOOKUP($B85,Food!$B$2:$K$236,10,FALSE),"")</f>
        <v/>
      </c>
      <c r="E85" s="29" t="str">
        <f>IF(COUNT(VLOOKUP($B85,Housing!$B$2:$L$236,11,FALSE)&amp;"")=1,VLOOKUP($B85,Housing!$B$2:$L$236,11,FALSE),"")</f>
        <v/>
      </c>
      <c r="F85" s="29" t="str">
        <f>IF(COUNT(VLOOKUP($B85,Employment!$B$2:$M$236,12,FALSE)&amp;"")=1,VLOOKUP($B85,Employment!$B$2:$M$236,12,FALSE),"")</f>
        <v/>
      </c>
      <c r="G85" s="29" t="str">
        <f>IF(COUNT(VLOOKUP($B85,Education!$B$2:$L$236,11,FALSE)&amp;"")=1,VLOOKUP($B85,Education!$B$2:$L$236,11,FALSE),"")</f>
        <v/>
      </c>
      <c r="H85" s="29" t="str">
        <f>IF(COUNT(VLOOKUP($B85,Gender!$B$2:$K$236,10,FALSE)&amp;"")=1,VLOOKUP($B85,Gender!$B$2:$K$236,10,FALSE),"")</f>
        <v/>
      </c>
      <c r="I85" s="29" t="str">
        <f>IF(COUNT(VLOOKUP($B85,'Religious Freedom'!$B$2:$K$200,10,FALSE)&amp;"")=1,VLOOKUP($B85,'Religious Freedom'!$B$2:$K$200,10,FALSE),"")</f>
        <v/>
      </c>
    </row>
    <row r="86" ht="14.25" customHeight="1">
      <c r="A86" s="22" t="s">
        <v>165</v>
      </c>
      <c r="B86" s="22" t="s">
        <v>166</v>
      </c>
      <c r="C86" s="29" t="str">
        <f>IF(COUNT(VLOOKUP($B86,Water!$B$2:$L$235,11,FALSE)&amp;"")=1,(VLOOKUP($B86,Water!$B$2:$L$235,11,FALSE)),"")</f>
        <v/>
      </c>
      <c r="D86" s="29" t="str">
        <f>IF(COUNT(VLOOKUP($B86,Food!$B$2:$K$236,10,FALSE)&amp;"")=1,VLOOKUP($B86,Food!$B$2:$K$236,10,FALSE),"")</f>
        <v/>
      </c>
      <c r="E86" s="29" t="str">
        <f>IF(COUNT(VLOOKUP($B86,Housing!$B$2:$L$236,11,FALSE)&amp;"")=1,VLOOKUP($B86,Housing!$B$2:$L$236,11,FALSE),"")</f>
        <v/>
      </c>
      <c r="F86" s="29" t="str">
        <f>IF(COUNT(VLOOKUP($B86,Employment!$B$2:$M$236,12,FALSE)&amp;"")=1,VLOOKUP($B86,Employment!$B$2:$M$236,12,FALSE),"")</f>
        <v/>
      </c>
      <c r="G86" s="29" t="str">
        <f>IF(COUNT(VLOOKUP($B86,Education!$B$2:$L$236,11,FALSE)&amp;"")=1,VLOOKUP($B86,Education!$B$2:$L$236,11,FALSE),"")</f>
        <v/>
      </c>
      <c r="H86" s="29" t="str">
        <f>IF(COUNT(VLOOKUP($B86,Gender!$B$2:$K$236,10,FALSE)&amp;"")=1,VLOOKUP($B86,Gender!$B$2:$K$236,10,FALSE),"")</f>
        <v/>
      </c>
      <c r="I86" s="29" t="str">
        <f>IF(COUNT(VLOOKUP($B86,'Religious Freedom'!$B$2:$K$200,10,FALSE)&amp;"")=1,VLOOKUP($B86,'Religious Freedom'!$B$2:$K$200,10,FALSE),"")</f>
        <v/>
      </c>
    </row>
    <row r="87" ht="14.25" customHeight="1">
      <c r="A87" s="22" t="s">
        <v>167</v>
      </c>
      <c r="B87" s="22" t="s">
        <v>168</v>
      </c>
      <c r="C87" s="29" t="str">
        <f>IF(COUNT(VLOOKUP($B87,Water!$B$2:$L$235,11,FALSE)&amp;"")=1,(VLOOKUP($B87,Water!$B$2:$L$235,11,FALSE)),"")</f>
        <v/>
      </c>
      <c r="D87" s="29" t="str">
        <f>IF(COUNT(VLOOKUP($B87,Food!$B$2:$K$236,10,FALSE)&amp;"")=1,VLOOKUP($B87,Food!$B$2:$K$236,10,FALSE),"")</f>
        <v/>
      </c>
      <c r="E87" s="29" t="str">
        <f>IF(COUNT(VLOOKUP($B87,Housing!$B$2:$L$236,11,FALSE)&amp;"")=1,VLOOKUP($B87,Housing!$B$2:$L$236,11,FALSE),"")</f>
        <v/>
      </c>
      <c r="F87" s="29" t="str">
        <f>IF(COUNT(VLOOKUP($B87,Employment!$B$2:$M$236,12,FALSE)&amp;"")=1,VLOOKUP($B87,Employment!$B$2:$M$236,12,FALSE),"")</f>
        <v/>
      </c>
      <c r="G87" s="29" t="str">
        <f>IF(COUNT(VLOOKUP($B87,Education!$B$2:$L$236,11,FALSE)&amp;"")=1,VLOOKUP($B87,Education!$B$2:$L$236,11,FALSE),"")</f>
        <v/>
      </c>
      <c r="H87" s="29" t="str">
        <f>IF(COUNT(VLOOKUP($B87,Gender!$B$2:$K$236,10,FALSE)&amp;"")=1,VLOOKUP($B87,Gender!$B$2:$K$236,10,FALSE),"")</f>
        <v/>
      </c>
      <c r="I87" s="29" t="str">
        <f>IF(COUNT(VLOOKUP($B87,'Religious Freedom'!$B$2:$K$200,10,FALSE)&amp;"")=1,VLOOKUP($B87,'Religious Freedom'!$B$2:$K$200,10,FALSE),"")</f>
        <v/>
      </c>
    </row>
    <row r="88" ht="14.25" customHeight="1">
      <c r="A88" s="22" t="s">
        <v>169</v>
      </c>
      <c r="B88" s="22" t="s">
        <v>170</v>
      </c>
      <c r="C88" s="29" t="str">
        <f>IF(COUNT(VLOOKUP($B88,Water!$B$2:$L$235,11,FALSE)&amp;"")=1,(VLOOKUP($B88,Water!$B$2:$L$235,11,FALSE)),"")</f>
        <v/>
      </c>
      <c r="D88" s="29" t="str">
        <f>IF(COUNT(VLOOKUP($B88,Food!$B$2:$K$236,10,FALSE)&amp;"")=1,VLOOKUP($B88,Food!$B$2:$K$236,10,FALSE),"")</f>
        <v/>
      </c>
      <c r="E88" s="29" t="str">
        <f>IF(COUNT(VLOOKUP($B88,Housing!$B$2:$L$236,11,FALSE)&amp;"")=1,VLOOKUP($B88,Housing!$B$2:$L$236,11,FALSE),"")</f>
        <v/>
      </c>
      <c r="F88" s="29" t="str">
        <f>IF(COUNT(VLOOKUP($B88,Employment!$B$2:$M$236,12,FALSE)&amp;"")=1,VLOOKUP($B88,Employment!$B$2:$M$236,12,FALSE),"")</f>
        <v/>
      </c>
      <c r="G88" s="29" t="str">
        <f>IF(COUNT(VLOOKUP($B88,Education!$B$2:$L$236,11,FALSE)&amp;"")=1,VLOOKUP($B88,Education!$B$2:$L$236,11,FALSE),"")</f>
        <v/>
      </c>
      <c r="H88" s="29" t="str">
        <f>IF(COUNT(VLOOKUP($B88,Gender!$B$2:$K$236,10,FALSE)&amp;"")=1,VLOOKUP($B88,Gender!$B$2:$K$236,10,FALSE),"")</f>
        <v/>
      </c>
      <c r="I88" s="29" t="str">
        <f>IF(COUNT(VLOOKUP($B88,'Religious Freedom'!$B$2:$K$200,10,FALSE)&amp;"")=1,VLOOKUP($B88,'Religious Freedom'!$B$2:$K$200,10,FALSE),"")</f>
        <v/>
      </c>
    </row>
    <row r="89" ht="14.25" customHeight="1">
      <c r="A89" s="22" t="s">
        <v>171</v>
      </c>
      <c r="B89" s="22" t="s">
        <v>172</v>
      </c>
      <c r="C89" s="29" t="str">
        <f>IF(COUNT(VLOOKUP($B89,Water!$B$2:$L$235,11,FALSE)&amp;"")=1,(VLOOKUP($B89,Water!$B$2:$L$235,11,FALSE)),"")</f>
        <v/>
      </c>
      <c r="D89" s="29" t="str">
        <f>IF(COUNT(VLOOKUP($B89,Food!$B$2:$K$236,10,FALSE)&amp;"")=1,VLOOKUP($B89,Food!$B$2:$K$236,10,FALSE),"")</f>
        <v/>
      </c>
      <c r="E89" s="29" t="str">
        <f>IF(COUNT(VLOOKUP($B89,Housing!$B$2:$L$236,11,FALSE)&amp;"")=1,VLOOKUP($B89,Housing!$B$2:$L$236,11,FALSE),"")</f>
        <v/>
      </c>
      <c r="F89" s="29" t="str">
        <f>IF(COUNT(VLOOKUP($B89,Employment!$B$2:$M$236,12,FALSE)&amp;"")=1,VLOOKUP($B89,Employment!$B$2:$M$236,12,FALSE),"")</f>
        <v/>
      </c>
      <c r="G89" s="29" t="str">
        <f>IF(COUNT(VLOOKUP($B89,Education!$B$2:$L$236,11,FALSE)&amp;"")=1,VLOOKUP($B89,Education!$B$2:$L$236,11,FALSE),"")</f>
        <v/>
      </c>
      <c r="H89" s="29" t="str">
        <f>IF(COUNT(VLOOKUP($B89,Gender!$B$2:$K$236,10,FALSE)&amp;"")=1,VLOOKUP($B89,Gender!$B$2:$K$236,10,FALSE),"")</f>
        <v/>
      </c>
      <c r="I89" s="29" t="str">
        <f>IF(COUNT(VLOOKUP($B89,'Religious Freedom'!$B$2:$K$200,10,FALSE)&amp;"")=1,VLOOKUP($B89,'Religious Freedom'!$B$2:$K$200,10,FALSE),"")</f>
        <v/>
      </c>
    </row>
    <row r="90" ht="14.25" customHeight="1">
      <c r="A90" s="22" t="s">
        <v>173</v>
      </c>
      <c r="B90" s="22" t="s">
        <v>174</v>
      </c>
      <c r="C90" s="29" t="str">
        <f>IF(COUNT(VLOOKUP($B90,Water!$B$2:$L$235,11,FALSE)&amp;"")=1,(VLOOKUP($B90,Water!$B$2:$L$235,11,FALSE)),"")</f>
        <v/>
      </c>
      <c r="D90" s="29" t="str">
        <f>IF(COUNT(VLOOKUP($B90,Food!$B$2:$K$236,10,FALSE)&amp;"")=1,VLOOKUP($B90,Food!$B$2:$K$236,10,FALSE),"")</f>
        <v/>
      </c>
      <c r="E90" s="29" t="str">
        <f>IF(COUNT(VLOOKUP($B90,Housing!$B$2:$L$236,11,FALSE)&amp;"")=1,VLOOKUP($B90,Housing!$B$2:$L$236,11,FALSE),"")</f>
        <v/>
      </c>
      <c r="F90" s="29" t="str">
        <f>IF(COUNT(VLOOKUP($B90,Employment!$B$2:$M$236,12,FALSE)&amp;"")=1,VLOOKUP($B90,Employment!$B$2:$M$236,12,FALSE),"")</f>
        <v/>
      </c>
      <c r="G90" s="29" t="str">
        <f>IF(COUNT(VLOOKUP($B90,Education!$B$2:$L$236,11,FALSE)&amp;"")=1,VLOOKUP($B90,Education!$B$2:$L$236,11,FALSE),"")</f>
        <v/>
      </c>
      <c r="H90" s="29" t="str">
        <f>IF(COUNT(VLOOKUP($B90,Gender!$B$2:$K$236,10,FALSE)&amp;"")=1,VLOOKUP($B90,Gender!$B$2:$K$236,10,FALSE),"")</f>
        <v/>
      </c>
      <c r="I90" s="29" t="str">
        <f>IF(COUNT(VLOOKUP($B90,'Religious Freedom'!$B$2:$K$200,10,FALSE)&amp;"")=1,VLOOKUP($B90,'Religious Freedom'!$B$2:$K$200,10,FALSE),"")</f>
        <v/>
      </c>
    </row>
    <row r="91" ht="14.25" customHeight="1">
      <c r="A91" s="22" t="s">
        <v>175</v>
      </c>
      <c r="B91" s="22" t="s">
        <v>176</v>
      </c>
      <c r="C91" s="29" t="str">
        <f>IF(COUNT(VLOOKUP($B91,Water!$B$2:$L$235,11,FALSE)&amp;"")=1,(VLOOKUP($B91,Water!$B$2:$L$235,11,FALSE)),"")</f>
        <v/>
      </c>
      <c r="D91" s="29" t="str">
        <f>IF(COUNT(VLOOKUP($B91,Food!$B$2:$K$236,10,FALSE)&amp;"")=1,VLOOKUP($B91,Food!$B$2:$K$236,10,FALSE),"")</f>
        <v/>
      </c>
      <c r="E91" s="29" t="str">
        <f>IF(COUNT(VLOOKUP($B91,Housing!$B$2:$L$236,11,FALSE)&amp;"")=1,VLOOKUP($B91,Housing!$B$2:$L$236,11,FALSE),"")</f>
        <v/>
      </c>
      <c r="F91" s="29" t="str">
        <f>IF(COUNT(VLOOKUP($B91,Employment!$B$2:$M$236,12,FALSE)&amp;"")=1,VLOOKUP($B91,Employment!$B$2:$M$236,12,FALSE),"")</f>
        <v/>
      </c>
      <c r="G91" s="29" t="str">
        <f>IF(COUNT(VLOOKUP($B91,Education!$B$2:$L$236,11,FALSE)&amp;"")=1,VLOOKUP($B91,Education!$B$2:$L$236,11,FALSE),"")</f>
        <v/>
      </c>
      <c r="H91" s="29" t="str">
        <f>IF(COUNT(VLOOKUP($B91,Gender!$B$2:$K$236,10,FALSE)&amp;"")=1,VLOOKUP($B91,Gender!$B$2:$K$236,10,FALSE),"")</f>
        <v/>
      </c>
      <c r="I91" s="29" t="str">
        <f>IF(COUNT(VLOOKUP($B91,'Religious Freedom'!$B$2:$K$200,10,FALSE)&amp;"")=1,VLOOKUP($B91,'Religious Freedom'!$B$2:$K$200,10,FALSE),"")</f>
        <v/>
      </c>
    </row>
    <row r="92" ht="14.25" customHeight="1">
      <c r="A92" s="22" t="s">
        <v>177</v>
      </c>
      <c r="B92" s="22" t="s">
        <v>178</v>
      </c>
      <c r="C92" s="29" t="str">
        <f>IF(COUNT(VLOOKUP($B92,Water!$B$2:$L$235,11,FALSE)&amp;"")=1,(VLOOKUP($B92,Water!$B$2:$L$235,11,FALSE)),"")</f>
        <v/>
      </c>
      <c r="D92" s="29" t="str">
        <f>IF(COUNT(VLOOKUP($B92,Food!$B$2:$K$236,10,FALSE)&amp;"")=1,VLOOKUP($B92,Food!$B$2:$K$236,10,FALSE),"")</f>
        <v/>
      </c>
      <c r="E92" s="29" t="str">
        <f>IF(COUNT(VLOOKUP($B92,Housing!$B$2:$L$236,11,FALSE)&amp;"")=1,VLOOKUP($B92,Housing!$B$2:$L$236,11,FALSE),"")</f>
        <v/>
      </c>
      <c r="F92" s="29" t="str">
        <f>IF(COUNT(VLOOKUP($B92,Employment!$B$2:$M$236,12,FALSE)&amp;"")=1,VLOOKUP($B92,Employment!$B$2:$M$236,12,FALSE),"")</f>
        <v/>
      </c>
      <c r="G92" s="29" t="str">
        <f>IF(COUNT(VLOOKUP($B92,Education!$B$2:$L$236,11,FALSE)&amp;"")=1,VLOOKUP($B92,Education!$B$2:$L$236,11,FALSE),"")</f>
        <v/>
      </c>
      <c r="H92" s="29" t="str">
        <f>IF(COUNT(VLOOKUP($B92,Gender!$B$2:$K$236,10,FALSE)&amp;"")=1,VLOOKUP($B92,Gender!$B$2:$K$236,10,FALSE),"")</f>
        <v/>
      </c>
      <c r="I92" s="29" t="str">
        <f>IF(COUNT(VLOOKUP($B92,'Religious Freedom'!$B$2:$K$200,10,FALSE)&amp;"")=1,VLOOKUP($B92,'Religious Freedom'!$B$2:$K$200,10,FALSE),"")</f>
        <v/>
      </c>
    </row>
    <row r="93" ht="14.25" customHeight="1">
      <c r="A93" s="22" t="s">
        <v>179</v>
      </c>
      <c r="B93" s="22" t="s">
        <v>180</v>
      </c>
      <c r="C93" s="29" t="str">
        <f>IF(COUNT(VLOOKUP($B93,Water!$B$2:$L$235,11,FALSE)&amp;"")=1,(VLOOKUP($B93,Water!$B$2:$L$235,11,FALSE)),"")</f>
        <v/>
      </c>
      <c r="D93" s="29" t="str">
        <f>IF(COUNT(VLOOKUP($B93,Food!$B$2:$K$236,10,FALSE)&amp;"")=1,VLOOKUP($B93,Food!$B$2:$K$236,10,FALSE),"")</f>
        <v/>
      </c>
      <c r="E93" s="29" t="str">
        <f>IF(COUNT(VLOOKUP($B93,Housing!$B$2:$L$236,11,FALSE)&amp;"")=1,VLOOKUP($B93,Housing!$B$2:$L$236,11,FALSE),"")</f>
        <v/>
      </c>
      <c r="F93" s="29" t="str">
        <f>IF(COUNT(VLOOKUP($B93,Employment!$B$2:$M$236,12,FALSE)&amp;"")=1,VLOOKUP($B93,Employment!$B$2:$M$236,12,FALSE),"")</f>
        <v/>
      </c>
      <c r="G93" s="29" t="str">
        <f>IF(COUNT(VLOOKUP($B93,Education!$B$2:$L$236,11,FALSE)&amp;"")=1,VLOOKUP($B93,Education!$B$2:$L$236,11,FALSE),"")</f>
        <v/>
      </c>
      <c r="H93" s="29" t="str">
        <f>IF(COUNT(VLOOKUP($B93,Gender!$B$2:$K$236,10,FALSE)&amp;"")=1,VLOOKUP($B93,Gender!$B$2:$K$236,10,FALSE),"")</f>
        <v/>
      </c>
      <c r="I93" s="29" t="str">
        <f>IF(COUNT(VLOOKUP($B93,'Religious Freedom'!$B$2:$K$200,10,FALSE)&amp;"")=1,VLOOKUP($B93,'Religious Freedom'!$B$2:$K$200,10,FALSE),"")</f>
        <v/>
      </c>
    </row>
    <row r="94" ht="14.25" customHeight="1">
      <c r="A94" s="22" t="s">
        <v>181</v>
      </c>
      <c r="B94" s="22" t="s">
        <v>182</v>
      </c>
      <c r="C94" s="29" t="str">
        <f>IF(COUNT(VLOOKUP($B94,Water!$B$2:$L$235,11,FALSE)&amp;"")=1,(VLOOKUP($B94,Water!$B$2:$L$235,11,FALSE)),"")</f>
        <v/>
      </c>
      <c r="D94" s="29" t="str">
        <f>IF(COUNT(VLOOKUP($B94,Food!$B$2:$K$236,10,FALSE)&amp;"")=1,VLOOKUP($B94,Food!$B$2:$K$236,10,FALSE),"")</f>
        <v/>
      </c>
      <c r="E94" s="29" t="str">
        <f>IF(COUNT(VLOOKUP($B94,Housing!$B$2:$L$236,11,FALSE)&amp;"")=1,VLOOKUP($B94,Housing!$B$2:$L$236,11,FALSE),"")</f>
        <v/>
      </c>
      <c r="F94" s="29" t="str">
        <f>IF(COUNT(VLOOKUP($B94,Employment!$B$2:$M$236,12,FALSE)&amp;"")=1,VLOOKUP($B94,Employment!$B$2:$M$236,12,FALSE),"")</f>
        <v/>
      </c>
      <c r="G94" s="29" t="str">
        <f>IF(COUNT(VLOOKUP($B94,Education!$B$2:$L$236,11,FALSE)&amp;"")=1,VLOOKUP($B94,Education!$B$2:$L$236,11,FALSE),"")</f>
        <v/>
      </c>
      <c r="H94" s="29" t="str">
        <f>IF(COUNT(VLOOKUP($B94,Gender!$B$2:$K$236,10,FALSE)&amp;"")=1,VLOOKUP($B94,Gender!$B$2:$K$236,10,FALSE),"")</f>
        <v/>
      </c>
      <c r="I94" s="29" t="str">
        <f>IF(COUNT(VLOOKUP($B94,'Religious Freedom'!$B$2:$K$200,10,FALSE)&amp;"")=1,VLOOKUP($B94,'Religious Freedom'!$B$2:$K$200,10,FALSE),"")</f>
        <v/>
      </c>
    </row>
    <row r="95" ht="14.25" customHeight="1">
      <c r="A95" s="22" t="s">
        <v>183</v>
      </c>
      <c r="B95" s="22" t="s">
        <v>184</v>
      </c>
      <c r="C95" s="29" t="str">
        <f>IF(COUNT(VLOOKUP($B95,Water!$B$2:$L$235,11,FALSE)&amp;"")=1,(VLOOKUP($B95,Water!$B$2:$L$235,11,FALSE)),"")</f>
        <v/>
      </c>
      <c r="D95" s="29" t="str">
        <f>IF(COUNT(VLOOKUP($B95,Food!$B$2:$K$236,10,FALSE)&amp;"")=1,VLOOKUP($B95,Food!$B$2:$K$236,10,FALSE),"")</f>
        <v/>
      </c>
      <c r="E95" s="29" t="str">
        <f>IF(COUNT(VLOOKUP($B95,Housing!$B$2:$L$236,11,FALSE)&amp;"")=1,VLOOKUP($B95,Housing!$B$2:$L$236,11,FALSE),"")</f>
        <v/>
      </c>
      <c r="F95" s="29" t="str">
        <f>IF(COUNT(VLOOKUP($B95,Employment!$B$2:$M$236,12,FALSE)&amp;"")=1,VLOOKUP($B95,Employment!$B$2:$M$236,12,FALSE),"")</f>
        <v/>
      </c>
      <c r="G95" s="29" t="str">
        <f>IF(COUNT(VLOOKUP($B95,Education!$B$2:$L$236,11,FALSE)&amp;"")=1,VLOOKUP($B95,Education!$B$2:$L$236,11,FALSE),"")</f>
        <v/>
      </c>
      <c r="H95" s="29" t="str">
        <f>IF(COUNT(VLOOKUP($B95,Gender!$B$2:$K$236,10,FALSE)&amp;"")=1,VLOOKUP($B95,Gender!$B$2:$K$236,10,FALSE),"")</f>
        <v/>
      </c>
      <c r="I95" s="29" t="str">
        <f>IF(COUNT(VLOOKUP($B95,'Religious Freedom'!$B$2:$K$200,10,FALSE)&amp;"")=1,VLOOKUP($B95,'Religious Freedom'!$B$2:$K$200,10,FALSE),"")</f>
        <v/>
      </c>
    </row>
    <row r="96" ht="14.25" customHeight="1">
      <c r="A96" s="22" t="s">
        <v>185</v>
      </c>
      <c r="B96" s="22" t="s">
        <v>186</v>
      </c>
      <c r="C96" s="29" t="str">
        <f>IF(COUNT(VLOOKUP($B96,Water!$B$2:$L$235,11,FALSE)&amp;"")=1,(VLOOKUP($B96,Water!$B$2:$L$235,11,FALSE)),"")</f>
        <v/>
      </c>
      <c r="D96" s="29" t="str">
        <f>IF(COUNT(VLOOKUP($B96,Food!$B$2:$K$236,10,FALSE)&amp;"")=1,VLOOKUP($B96,Food!$B$2:$K$236,10,FALSE),"")</f>
        <v/>
      </c>
      <c r="E96" s="29" t="str">
        <f>IF(COUNT(VLOOKUP($B96,Housing!$B$2:$L$236,11,FALSE)&amp;"")=1,VLOOKUP($B96,Housing!$B$2:$L$236,11,FALSE),"")</f>
        <v/>
      </c>
      <c r="F96" s="29" t="str">
        <f>IF(COUNT(VLOOKUP($B96,Employment!$B$2:$M$236,12,FALSE)&amp;"")=1,VLOOKUP($B96,Employment!$B$2:$M$236,12,FALSE),"")</f>
        <v/>
      </c>
      <c r="G96" s="29" t="str">
        <f>IF(COUNT(VLOOKUP($B96,Education!$B$2:$L$236,11,FALSE)&amp;"")=1,VLOOKUP($B96,Education!$B$2:$L$236,11,FALSE),"")</f>
        <v/>
      </c>
      <c r="H96" s="29" t="str">
        <f>IF(COUNT(VLOOKUP($B96,Gender!$B$2:$K$236,10,FALSE)&amp;"")=1,VLOOKUP($B96,Gender!$B$2:$K$236,10,FALSE),"")</f>
        <v/>
      </c>
      <c r="I96" s="29" t="str">
        <f>IF(COUNT(VLOOKUP($B96,'Religious Freedom'!$B$2:$K$200,10,FALSE)&amp;"")=1,VLOOKUP($B96,'Religious Freedom'!$B$2:$K$200,10,FALSE),"")</f>
        <v/>
      </c>
    </row>
    <row r="97" ht="14.25" customHeight="1">
      <c r="A97" s="22" t="s">
        <v>187</v>
      </c>
      <c r="B97" s="22" t="s">
        <v>188</v>
      </c>
      <c r="C97" s="29" t="str">
        <f>IF(COUNT(VLOOKUP($B97,Water!$B$2:$L$235,11,FALSE)&amp;"")=1,(VLOOKUP($B97,Water!$B$2:$L$235,11,FALSE)),"")</f>
        <v/>
      </c>
      <c r="D97" s="29" t="str">
        <f>IF(COUNT(VLOOKUP($B97,Food!$B$2:$K$236,10,FALSE)&amp;"")=1,VLOOKUP($B97,Food!$B$2:$K$236,10,FALSE),"")</f>
        <v/>
      </c>
      <c r="E97" s="29" t="str">
        <f>IF(COUNT(VLOOKUP($B97,Housing!$B$2:$L$236,11,FALSE)&amp;"")=1,VLOOKUP($B97,Housing!$B$2:$L$236,11,FALSE),"")</f>
        <v/>
      </c>
      <c r="F97" s="29" t="str">
        <f>IF(COUNT(VLOOKUP($B97,Employment!$B$2:$M$236,12,FALSE)&amp;"")=1,VLOOKUP($B97,Employment!$B$2:$M$236,12,FALSE),"")</f>
        <v/>
      </c>
      <c r="G97" s="29" t="str">
        <f>IF(COUNT(VLOOKUP($B97,Education!$B$2:$L$236,11,FALSE)&amp;"")=1,VLOOKUP($B97,Education!$B$2:$L$236,11,FALSE),"")</f>
        <v/>
      </c>
      <c r="H97" s="29" t="str">
        <f>IF(COUNT(VLOOKUP($B97,Gender!$B$2:$K$236,10,FALSE)&amp;"")=1,VLOOKUP($B97,Gender!$B$2:$K$236,10,FALSE),"")</f>
        <v/>
      </c>
      <c r="I97" s="29" t="str">
        <f>IF(COUNT(VLOOKUP($B97,'Religious Freedom'!$B$2:$K$200,10,FALSE)&amp;"")=1,VLOOKUP($B97,'Religious Freedom'!$B$2:$K$200,10,FALSE),"")</f>
        <v/>
      </c>
    </row>
    <row r="98" ht="14.25" customHeight="1">
      <c r="A98" s="22" t="s">
        <v>189</v>
      </c>
      <c r="B98" s="22" t="s">
        <v>190</v>
      </c>
      <c r="C98" s="29" t="str">
        <f>IF(COUNT(VLOOKUP($B98,Water!$B$2:$L$235,11,FALSE)&amp;"")=1,(VLOOKUP($B98,Water!$B$2:$L$235,11,FALSE)),"")</f>
        <v/>
      </c>
      <c r="D98" s="29" t="str">
        <f>IF(COUNT(VLOOKUP($B98,Food!$B$2:$K$236,10,FALSE)&amp;"")=1,VLOOKUP($B98,Food!$B$2:$K$236,10,FALSE),"")</f>
        <v/>
      </c>
      <c r="E98" s="29" t="str">
        <f>IF(COUNT(VLOOKUP($B98,Housing!$B$2:$L$236,11,FALSE)&amp;"")=1,VLOOKUP($B98,Housing!$B$2:$L$236,11,FALSE),"")</f>
        <v/>
      </c>
      <c r="F98" s="29" t="str">
        <f>IF(COUNT(VLOOKUP($B98,Employment!$B$2:$M$236,12,FALSE)&amp;"")=1,VLOOKUP($B98,Employment!$B$2:$M$236,12,FALSE),"")</f>
        <v/>
      </c>
      <c r="G98" s="29" t="str">
        <f>IF(COUNT(VLOOKUP($B98,Education!$B$2:$L$236,11,FALSE)&amp;"")=1,VLOOKUP($B98,Education!$B$2:$L$236,11,FALSE),"")</f>
        <v/>
      </c>
      <c r="H98" s="29" t="str">
        <f>IF(COUNT(VLOOKUP($B98,Gender!$B$2:$K$236,10,FALSE)&amp;"")=1,VLOOKUP($B98,Gender!$B$2:$K$236,10,FALSE),"")</f>
        <v/>
      </c>
      <c r="I98" s="29" t="str">
        <f>IF(COUNT(VLOOKUP($B98,'Religious Freedom'!$B$2:$K$200,10,FALSE)&amp;"")=1,VLOOKUP($B98,'Religious Freedom'!$B$2:$K$200,10,FALSE),"")</f>
        <v/>
      </c>
    </row>
    <row r="99" ht="14.25" customHeight="1">
      <c r="A99" s="22" t="s">
        <v>191</v>
      </c>
      <c r="B99" s="22" t="s">
        <v>192</v>
      </c>
      <c r="C99" s="29" t="str">
        <f>IF(COUNT(VLOOKUP($B99,Water!$B$2:$L$235,11,FALSE)&amp;"")=1,(VLOOKUP($B99,Water!$B$2:$L$235,11,FALSE)),"")</f>
        <v/>
      </c>
      <c r="D99" s="29" t="str">
        <f>IF(COUNT(VLOOKUP($B99,Food!$B$2:$K$236,10,FALSE)&amp;"")=1,VLOOKUP($B99,Food!$B$2:$K$236,10,FALSE),"")</f>
        <v/>
      </c>
      <c r="E99" s="29" t="str">
        <f>IF(COUNT(VLOOKUP($B99,Housing!$B$2:$L$236,11,FALSE)&amp;"")=1,VLOOKUP($B99,Housing!$B$2:$L$236,11,FALSE),"")</f>
        <v/>
      </c>
      <c r="F99" s="29" t="str">
        <f>IF(COUNT(VLOOKUP($B99,Employment!$B$2:$M$236,12,FALSE)&amp;"")=1,VLOOKUP($B99,Employment!$B$2:$M$236,12,FALSE),"")</f>
        <v/>
      </c>
      <c r="G99" s="29" t="str">
        <f>IF(COUNT(VLOOKUP($B99,Education!$B$2:$L$236,11,FALSE)&amp;"")=1,VLOOKUP($B99,Education!$B$2:$L$236,11,FALSE),"")</f>
        <v/>
      </c>
      <c r="H99" s="29" t="str">
        <f>IF(COUNT(VLOOKUP($B99,Gender!$B$2:$K$236,10,FALSE)&amp;"")=1,VLOOKUP($B99,Gender!$B$2:$K$236,10,FALSE),"")</f>
        <v/>
      </c>
      <c r="I99" s="29" t="str">
        <f>IF(COUNT(VLOOKUP($B99,'Religious Freedom'!$B$2:$K$200,10,FALSE)&amp;"")=1,VLOOKUP($B99,'Religious Freedom'!$B$2:$K$200,10,FALSE),"")</f>
        <v/>
      </c>
    </row>
    <row r="100" ht="14.25" customHeight="1">
      <c r="A100" s="22" t="s">
        <v>193</v>
      </c>
      <c r="B100" s="22" t="s">
        <v>194</v>
      </c>
      <c r="C100" s="29" t="str">
        <f>IF(COUNT(VLOOKUP($B100,Water!$B$2:$L$235,11,FALSE)&amp;"")=1,(VLOOKUP($B100,Water!$B$2:$L$235,11,FALSE)),"")</f>
        <v/>
      </c>
      <c r="D100" s="29" t="str">
        <f>IF(COUNT(VLOOKUP($B100,Food!$B$2:$K$236,10,FALSE)&amp;"")=1,VLOOKUP($B100,Food!$B$2:$K$236,10,FALSE),"")</f>
        <v/>
      </c>
      <c r="E100" s="29" t="str">
        <f>IF(COUNT(VLOOKUP($B100,Housing!$B$2:$L$236,11,FALSE)&amp;"")=1,VLOOKUP($B100,Housing!$B$2:$L$236,11,FALSE),"")</f>
        <v/>
      </c>
      <c r="F100" s="29" t="str">
        <f>IF(COUNT(VLOOKUP($B100,Employment!$B$2:$M$236,12,FALSE)&amp;"")=1,VLOOKUP($B100,Employment!$B$2:$M$236,12,FALSE),"")</f>
        <v/>
      </c>
      <c r="G100" s="29" t="str">
        <f>IF(COUNT(VLOOKUP($B100,Education!$B$2:$L$236,11,FALSE)&amp;"")=1,VLOOKUP($B100,Education!$B$2:$L$236,11,FALSE),"")</f>
        <v/>
      </c>
      <c r="H100" s="29" t="str">
        <f>IF(COUNT(VLOOKUP($B100,Gender!$B$2:$K$236,10,FALSE)&amp;"")=1,VLOOKUP($B100,Gender!$B$2:$K$236,10,FALSE),"")</f>
        <v/>
      </c>
      <c r="I100" s="29" t="str">
        <f>IF(COUNT(VLOOKUP($B100,'Religious Freedom'!$B$2:$K$200,10,FALSE)&amp;"")=1,VLOOKUP($B100,'Religious Freedom'!$B$2:$K$200,10,FALSE),"")</f>
        <v/>
      </c>
    </row>
    <row r="101" ht="14.25" customHeight="1">
      <c r="A101" s="22" t="s">
        <v>195</v>
      </c>
      <c r="B101" s="22" t="s">
        <v>196</v>
      </c>
      <c r="C101" s="29" t="str">
        <f>IF(COUNT(VLOOKUP($B101,Water!$B$2:$L$235,11,FALSE)&amp;"")=1,(VLOOKUP($B101,Water!$B$2:$L$235,11,FALSE)),"")</f>
        <v/>
      </c>
      <c r="D101" s="29" t="str">
        <f>IF(COUNT(VLOOKUP($B101,Food!$B$2:$K$236,10,FALSE)&amp;"")=1,VLOOKUP($B101,Food!$B$2:$K$236,10,FALSE),"")</f>
        <v/>
      </c>
      <c r="E101" s="29" t="str">
        <f>IF(COUNT(VLOOKUP($B101,Housing!$B$2:$L$236,11,FALSE)&amp;"")=1,VLOOKUP($B101,Housing!$B$2:$L$236,11,FALSE),"")</f>
        <v/>
      </c>
      <c r="F101" s="29" t="str">
        <f>IF(COUNT(VLOOKUP($B101,Employment!$B$2:$M$236,12,FALSE)&amp;"")=1,VLOOKUP($B101,Employment!$B$2:$M$236,12,FALSE),"")</f>
        <v/>
      </c>
      <c r="G101" s="29" t="str">
        <f>IF(COUNT(VLOOKUP($B101,Education!$B$2:$L$236,11,FALSE)&amp;"")=1,VLOOKUP($B101,Education!$B$2:$L$236,11,FALSE),"")</f>
        <v/>
      </c>
      <c r="H101" s="29" t="str">
        <f>IF(COUNT(VLOOKUP($B101,Gender!$B$2:$K$236,10,FALSE)&amp;"")=1,VLOOKUP($B101,Gender!$B$2:$K$236,10,FALSE),"")</f>
        <v/>
      </c>
      <c r="I101" s="29" t="str">
        <f>IF(COUNT(VLOOKUP($B101,'Religious Freedom'!$B$2:$K$200,10,FALSE)&amp;"")=1,VLOOKUP($B101,'Religious Freedom'!$B$2:$K$200,10,FALSE),"")</f>
        <v/>
      </c>
    </row>
    <row r="102" ht="14.25" customHeight="1">
      <c r="A102" s="22" t="s">
        <v>197</v>
      </c>
      <c r="B102" s="22" t="s">
        <v>198</v>
      </c>
      <c r="C102" s="29" t="str">
        <f>IF(COUNT(VLOOKUP($B102,Water!$B$2:$L$235,11,FALSE)&amp;"")=1,(VLOOKUP($B102,Water!$B$2:$L$235,11,FALSE)),"")</f>
        <v/>
      </c>
      <c r="D102" s="29" t="str">
        <f>IF(COUNT(VLOOKUP($B102,Food!$B$2:$K$236,10,FALSE)&amp;"")=1,VLOOKUP($B102,Food!$B$2:$K$236,10,FALSE),"")</f>
        <v/>
      </c>
      <c r="E102" s="29" t="str">
        <f>IF(COUNT(VLOOKUP($B102,Housing!$B$2:$L$236,11,FALSE)&amp;"")=1,VLOOKUP($B102,Housing!$B$2:$L$236,11,FALSE),"")</f>
        <v/>
      </c>
      <c r="F102" s="29" t="str">
        <f>IF(COUNT(VLOOKUP($B102,Employment!$B$2:$M$236,12,FALSE)&amp;"")=1,VLOOKUP($B102,Employment!$B$2:$M$236,12,FALSE),"")</f>
        <v/>
      </c>
      <c r="G102" s="29" t="str">
        <f>IF(COUNT(VLOOKUP($B102,Education!$B$2:$L$236,11,FALSE)&amp;"")=1,VLOOKUP($B102,Education!$B$2:$L$236,11,FALSE),"")</f>
        <v/>
      </c>
      <c r="H102" s="29" t="str">
        <f>IF(COUNT(VLOOKUP($B102,Gender!$B$2:$K$236,10,FALSE)&amp;"")=1,VLOOKUP($B102,Gender!$B$2:$K$236,10,FALSE),"")</f>
        <v/>
      </c>
      <c r="I102" s="29" t="str">
        <f>IF(COUNT(VLOOKUP($B102,'Religious Freedom'!$B$2:$K$200,10,FALSE)&amp;"")=1,VLOOKUP($B102,'Religious Freedom'!$B$2:$K$200,10,FALSE),"")</f>
        <v/>
      </c>
    </row>
    <row r="103" ht="14.25" customHeight="1">
      <c r="A103" s="22" t="s">
        <v>199</v>
      </c>
      <c r="B103" s="22" t="s">
        <v>200</v>
      </c>
      <c r="C103" s="29" t="str">
        <f>IF(COUNT(VLOOKUP($B103,Water!$B$2:$L$235,11,FALSE)&amp;"")=1,(VLOOKUP($B103,Water!$B$2:$L$235,11,FALSE)),"")</f>
        <v/>
      </c>
      <c r="D103" s="29" t="str">
        <f>IF(COUNT(VLOOKUP($B103,Food!$B$2:$K$236,10,FALSE)&amp;"")=1,VLOOKUP($B103,Food!$B$2:$K$236,10,FALSE),"")</f>
        <v/>
      </c>
      <c r="E103" s="29" t="str">
        <f>IF(COUNT(VLOOKUP($B103,Housing!$B$2:$L$236,11,FALSE)&amp;"")=1,VLOOKUP($B103,Housing!$B$2:$L$236,11,FALSE),"")</f>
        <v/>
      </c>
      <c r="F103" s="29" t="str">
        <f>IF(COUNT(VLOOKUP($B103,Employment!$B$2:$M$236,12,FALSE)&amp;"")=1,VLOOKUP($B103,Employment!$B$2:$M$236,12,FALSE),"")</f>
        <v/>
      </c>
      <c r="G103" s="29" t="str">
        <f>IF(COUNT(VLOOKUP($B103,Education!$B$2:$L$236,11,FALSE)&amp;"")=1,VLOOKUP($B103,Education!$B$2:$L$236,11,FALSE),"")</f>
        <v/>
      </c>
      <c r="H103" s="29" t="str">
        <f>IF(COUNT(VLOOKUP($B103,Gender!$B$2:$K$236,10,FALSE)&amp;"")=1,VLOOKUP($B103,Gender!$B$2:$K$236,10,FALSE),"")</f>
        <v/>
      </c>
      <c r="I103" s="29" t="str">
        <f>IF(COUNT(VLOOKUP($B103,'Religious Freedom'!$B$2:$K$200,10,FALSE)&amp;"")=1,VLOOKUP($B103,'Religious Freedom'!$B$2:$K$200,10,FALSE),"")</f>
        <v/>
      </c>
    </row>
    <row r="104" ht="14.25" customHeight="1">
      <c r="A104" s="22" t="s">
        <v>201</v>
      </c>
      <c r="B104" s="22" t="s">
        <v>202</v>
      </c>
      <c r="C104" s="29" t="str">
        <f>IF(COUNT(VLOOKUP($B104,Water!$B$2:$L$235,11,FALSE)&amp;"")=1,(VLOOKUP($B104,Water!$B$2:$L$235,11,FALSE)),"")</f>
        <v/>
      </c>
      <c r="D104" s="29" t="str">
        <f>IF(COUNT(VLOOKUP($B104,Food!$B$2:$K$236,10,FALSE)&amp;"")=1,VLOOKUP($B104,Food!$B$2:$K$236,10,FALSE),"")</f>
        <v/>
      </c>
      <c r="E104" s="29" t="str">
        <f>IF(COUNT(VLOOKUP($B104,Housing!$B$2:$L$236,11,FALSE)&amp;"")=1,VLOOKUP($B104,Housing!$B$2:$L$236,11,FALSE),"")</f>
        <v/>
      </c>
      <c r="F104" s="29" t="str">
        <f>IF(COUNT(VLOOKUP($B104,Employment!$B$2:$M$236,12,FALSE)&amp;"")=1,VLOOKUP($B104,Employment!$B$2:$M$236,12,FALSE),"")</f>
        <v/>
      </c>
      <c r="G104" s="29" t="str">
        <f>IF(COUNT(VLOOKUP($B104,Education!$B$2:$L$236,11,FALSE)&amp;"")=1,VLOOKUP($B104,Education!$B$2:$L$236,11,FALSE),"")</f>
        <v/>
      </c>
      <c r="H104" s="29" t="str">
        <f>IF(COUNT(VLOOKUP($B104,Gender!$B$2:$K$236,10,FALSE)&amp;"")=1,VLOOKUP($B104,Gender!$B$2:$K$236,10,FALSE),"")</f>
        <v/>
      </c>
      <c r="I104" s="29" t="str">
        <f>IF(COUNT(VLOOKUP($B104,'Religious Freedom'!$B$2:$K$200,10,FALSE)&amp;"")=1,VLOOKUP($B104,'Religious Freedom'!$B$2:$K$200,10,FALSE),"")</f>
        <v/>
      </c>
    </row>
    <row r="105" ht="14.25" customHeight="1">
      <c r="A105" s="22" t="s">
        <v>203</v>
      </c>
      <c r="B105" s="22" t="s">
        <v>204</v>
      </c>
      <c r="C105" s="29" t="str">
        <f>IF(COUNT(VLOOKUP($B105,Water!$B$2:$L$235,11,FALSE)&amp;"")=1,(VLOOKUP($B105,Water!$B$2:$L$235,11,FALSE)),"")</f>
        <v/>
      </c>
      <c r="D105" s="29" t="str">
        <f>IF(COUNT(VLOOKUP($B105,Food!$B$2:$K$236,10,FALSE)&amp;"")=1,VLOOKUP($B105,Food!$B$2:$K$236,10,FALSE),"")</f>
        <v/>
      </c>
      <c r="E105" s="29" t="str">
        <f>IF(COUNT(VLOOKUP($B105,Housing!$B$2:$L$236,11,FALSE)&amp;"")=1,VLOOKUP($B105,Housing!$B$2:$L$236,11,FALSE),"")</f>
        <v/>
      </c>
      <c r="F105" s="29" t="str">
        <f>IF(COUNT(VLOOKUP($B105,Employment!$B$2:$M$236,12,FALSE)&amp;"")=1,VLOOKUP($B105,Employment!$B$2:$M$236,12,FALSE),"")</f>
        <v/>
      </c>
      <c r="G105" s="29" t="str">
        <f>IF(COUNT(VLOOKUP($B105,Education!$B$2:$L$236,11,FALSE)&amp;"")=1,VLOOKUP($B105,Education!$B$2:$L$236,11,FALSE),"")</f>
        <v/>
      </c>
      <c r="H105" s="29" t="str">
        <f>IF(COUNT(VLOOKUP($B105,Gender!$B$2:$K$236,10,FALSE)&amp;"")=1,VLOOKUP($B105,Gender!$B$2:$K$236,10,FALSE),"")</f>
        <v/>
      </c>
      <c r="I105" s="29" t="str">
        <f>IF(COUNT(VLOOKUP($B105,'Religious Freedom'!$B$2:$K$200,10,FALSE)&amp;"")=1,VLOOKUP($B105,'Religious Freedom'!$B$2:$K$200,10,FALSE),"")</f>
        <v/>
      </c>
    </row>
    <row r="106" ht="14.25" customHeight="1">
      <c r="A106" s="22" t="s">
        <v>205</v>
      </c>
      <c r="B106" s="22" t="s">
        <v>206</v>
      </c>
      <c r="C106" s="29" t="str">
        <f>IF(COUNT(VLOOKUP($B106,Water!$B$2:$L$235,11,FALSE)&amp;"")=1,(VLOOKUP($B106,Water!$B$2:$L$235,11,FALSE)),"")</f>
        <v/>
      </c>
      <c r="D106" s="29" t="str">
        <f>IF(COUNT(VLOOKUP($B106,Food!$B$2:$K$236,10,FALSE)&amp;"")=1,VLOOKUP($B106,Food!$B$2:$K$236,10,FALSE),"")</f>
        <v/>
      </c>
      <c r="E106" s="29" t="str">
        <f>IF(COUNT(VLOOKUP($B106,Housing!$B$2:$L$236,11,FALSE)&amp;"")=1,VLOOKUP($B106,Housing!$B$2:$L$236,11,FALSE),"")</f>
        <v/>
      </c>
      <c r="F106" s="29" t="str">
        <f>IF(COUNT(VLOOKUP($B106,Employment!$B$2:$M$236,12,FALSE)&amp;"")=1,VLOOKUP($B106,Employment!$B$2:$M$236,12,FALSE),"")</f>
        <v/>
      </c>
      <c r="G106" s="29" t="str">
        <f>IF(COUNT(VLOOKUP($B106,Education!$B$2:$L$236,11,FALSE)&amp;"")=1,VLOOKUP($B106,Education!$B$2:$L$236,11,FALSE),"")</f>
        <v/>
      </c>
      <c r="H106" s="29" t="str">
        <f>IF(COUNT(VLOOKUP($B106,Gender!$B$2:$K$236,10,FALSE)&amp;"")=1,VLOOKUP($B106,Gender!$B$2:$K$236,10,FALSE),"")</f>
        <v/>
      </c>
      <c r="I106" s="29" t="str">
        <f>IF(COUNT(VLOOKUP($B106,'Religious Freedom'!$B$2:$K$200,10,FALSE)&amp;"")=1,VLOOKUP($B106,'Religious Freedom'!$B$2:$K$200,10,FALSE),"")</f>
        <v/>
      </c>
    </row>
    <row r="107" ht="14.25" customHeight="1">
      <c r="A107" s="22" t="s">
        <v>207</v>
      </c>
      <c r="B107" s="22" t="s">
        <v>208</v>
      </c>
      <c r="C107" s="29" t="str">
        <f>IF(COUNT(VLOOKUP($B107,Water!$B$2:$L$235,11,FALSE)&amp;"")=1,(VLOOKUP($B107,Water!$B$2:$L$235,11,FALSE)),"")</f>
        <v/>
      </c>
      <c r="D107" s="29" t="str">
        <f>IF(COUNT(VLOOKUP($B107,Food!$B$2:$K$236,10,FALSE)&amp;"")=1,VLOOKUP($B107,Food!$B$2:$K$236,10,FALSE),"")</f>
        <v/>
      </c>
      <c r="E107" s="29" t="str">
        <f>IF(COUNT(VLOOKUP($B107,Housing!$B$2:$L$236,11,FALSE)&amp;"")=1,VLOOKUP($B107,Housing!$B$2:$L$236,11,FALSE),"")</f>
        <v/>
      </c>
      <c r="F107" s="29" t="str">
        <f>IF(COUNT(VLOOKUP($B107,Employment!$B$2:$M$236,12,FALSE)&amp;"")=1,VLOOKUP($B107,Employment!$B$2:$M$236,12,FALSE),"")</f>
        <v/>
      </c>
      <c r="G107" s="29" t="str">
        <f>IF(COUNT(VLOOKUP($B107,Education!$B$2:$L$236,11,FALSE)&amp;"")=1,VLOOKUP($B107,Education!$B$2:$L$236,11,FALSE),"")</f>
        <v/>
      </c>
      <c r="H107" s="29" t="str">
        <f>IF(COUNT(VLOOKUP($B107,Gender!$B$2:$K$236,10,FALSE)&amp;"")=1,VLOOKUP($B107,Gender!$B$2:$K$236,10,FALSE),"")</f>
        <v/>
      </c>
      <c r="I107" s="29" t="str">
        <f>IF(COUNT(VLOOKUP($B107,'Religious Freedom'!$B$2:$K$200,10,FALSE)&amp;"")=1,VLOOKUP($B107,'Religious Freedom'!$B$2:$K$200,10,FALSE),"")</f>
        <v/>
      </c>
    </row>
    <row r="108" ht="14.25" customHeight="1">
      <c r="A108" s="22" t="s">
        <v>209</v>
      </c>
      <c r="B108" s="22" t="s">
        <v>210</v>
      </c>
      <c r="C108" s="29" t="str">
        <f>IF(COUNT(VLOOKUP($B108,Water!$B$2:$L$235,11,FALSE)&amp;"")=1,(VLOOKUP($B108,Water!$B$2:$L$235,11,FALSE)),"")</f>
        <v/>
      </c>
      <c r="D108" s="29" t="str">
        <f>IF(COUNT(VLOOKUP($B108,Food!$B$2:$K$236,10,FALSE)&amp;"")=1,VLOOKUP($B108,Food!$B$2:$K$236,10,FALSE),"")</f>
        <v/>
      </c>
      <c r="E108" s="29" t="str">
        <f>IF(COUNT(VLOOKUP($B108,Housing!$B$2:$L$236,11,FALSE)&amp;"")=1,VLOOKUP($B108,Housing!$B$2:$L$236,11,FALSE),"")</f>
        <v/>
      </c>
      <c r="F108" s="29" t="str">
        <f>IF(COUNT(VLOOKUP($B108,Employment!$B$2:$M$236,12,FALSE)&amp;"")=1,VLOOKUP($B108,Employment!$B$2:$M$236,12,FALSE),"")</f>
        <v/>
      </c>
      <c r="G108" s="29" t="str">
        <f>IF(COUNT(VLOOKUP($B108,Education!$B$2:$L$236,11,FALSE)&amp;"")=1,VLOOKUP($B108,Education!$B$2:$L$236,11,FALSE),"")</f>
        <v/>
      </c>
      <c r="H108" s="29" t="str">
        <f>IF(COUNT(VLOOKUP($B108,Gender!$B$2:$K$236,10,FALSE)&amp;"")=1,VLOOKUP($B108,Gender!$B$2:$K$236,10,FALSE),"")</f>
        <v/>
      </c>
      <c r="I108" s="29" t="str">
        <f>IF(COUNT(VLOOKUP($B108,'Religious Freedom'!$B$2:$K$200,10,FALSE)&amp;"")=1,VLOOKUP($B108,'Religious Freedom'!$B$2:$K$200,10,FALSE),"")</f>
        <v/>
      </c>
    </row>
    <row r="109" ht="14.25" customHeight="1">
      <c r="A109" s="22" t="s">
        <v>211</v>
      </c>
      <c r="B109" s="22" t="s">
        <v>212</v>
      </c>
      <c r="C109" s="29" t="str">
        <f>IF(COUNT(VLOOKUP($B109,Water!$B$2:$L$235,11,FALSE)&amp;"")=1,(VLOOKUP($B109,Water!$B$2:$L$235,11,FALSE)),"")</f>
        <v/>
      </c>
      <c r="D109" s="29" t="str">
        <f>IF(COUNT(VLOOKUP($B109,Food!$B$2:$K$236,10,FALSE)&amp;"")=1,VLOOKUP($B109,Food!$B$2:$K$236,10,FALSE),"")</f>
        <v/>
      </c>
      <c r="E109" s="29" t="str">
        <f>IF(COUNT(VLOOKUP($B109,Housing!$B$2:$L$236,11,FALSE)&amp;"")=1,VLOOKUP($B109,Housing!$B$2:$L$236,11,FALSE),"")</f>
        <v/>
      </c>
      <c r="F109" s="29" t="str">
        <f>IF(COUNT(VLOOKUP($B109,Employment!$B$2:$M$236,12,FALSE)&amp;"")=1,VLOOKUP($B109,Employment!$B$2:$M$236,12,FALSE),"")</f>
        <v/>
      </c>
      <c r="G109" s="29" t="str">
        <f>IF(COUNT(VLOOKUP($B109,Education!$B$2:$L$236,11,FALSE)&amp;"")=1,VLOOKUP($B109,Education!$B$2:$L$236,11,FALSE),"")</f>
        <v/>
      </c>
      <c r="H109" s="29" t="str">
        <f>IF(COUNT(VLOOKUP($B109,Gender!$B$2:$K$236,10,FALSE)&amp;"")=1,VLOOKUP($B109,Gender!$B$2:$K$236,10,FALSE),"")</f>
        <v/>
      </c>
      <c r="I109" s="29" t="str">
        <f>IF(COUNT(VLOOKUP($B109,'Religious Freedom'!$B$2:$K$200,10,FALSE)&amp;"")=1,VLOOKUP($B109,'Religious Freedom'!$B$2:$K$200,10,FALSE),"")</f>
        <v/>
      </c>
    </row>
    <row r="110" ht="14.25" customHeight="1">
      <c r="A110" s="22" t="s">
        <v>213</v>
      </c>
      <c r="B110" s="22" t="s">
        <v>214</v>
      </c>
      <c r="C110" s="29" t="str">
        <f>IF(COUNT(VLOOKUP($B110,Water!$B$2:$L$235,11,FALSE)&amp;"")=1,(VLOOKUP($B110,Water!$B$2:$L$235,11,FALSE)),"")</f>
        <v/>
      </c>
      <c r="D110" s="29" t="str">
        <f>IF(COUNT(VLOOKUP($B110,Food!$B$2:$K$236,10,FALSE)&amp;"")=1,VLOOKUP($B110,Food!$B$2:$K$236,10,FALSE),"")</f>
        <v/>
      </c>
      <c r="E110" s="29" t="str">
        <f>IF(COUNT(VLOOKUP($B110,Housing!$B$2:$L$236,11,FALSE)&amp;"")=1,VLOOKUP($B110,Housing!$B$2:$L$236,11,FALSE),"")</f>
        <v/>
      </c>
      <c r="F110" s="29" t="str">
        <f>IF(COUNT(VLOOKUP($B110,Employment!$B$2:$M$236,12,FALSE)&amp;"")=1,VLOOKUP($B110,Employment!$B$2:$M$236,12,FALSE),"")</f>
        <v/>
      </c>
      <c r="G110" s="29" t="str">
        <f>IF(COUNT(VLOOKUP($B110,Education!$B$2:$L$236,11,FALSE)&amp;"")=1,VLOOKUP($B110,Education!$B$2:$L$236,11,FALSE),"")</f>
        <v/>
      </c>
      <c r="H110" s="29" t="str">
        <f>IF(COUNT(VLOOKUP($B110,Gender!$B$2:$K$236,10,FALSE)&amp;"")=1,VLOOKUP($B110,Gender!$B$2:$K$236,10,FALSE),"")</f>
        <v/>
      </c>
      <c r="I110" s="29" t="str">
        <f>IF(COUNT(VLOOKUP($B110,'Religious Freedom'!$B$2:$K$200,10,FALSE)&amp;"")=1,VLOOKUP($B110,'Religious Freedom'!$B$2:$K$200,10,FALSE),"")</f>
        <v/>
      </c>
    </row>
    <row r="111" ht="14.25" customHeight="1">
      <c r="A111" s="22" t="s">
        <v>215</v>
      </c>
      <c r="B111" s="22" t="s">
        <v>216</v>
      </c>
      <c r="C111" s="29" t="str">
        <f>IF(COUNT(VLOOKUP($B111,Water!$B$2:$L$235,11,FALSE)&amp;"")=1,(VLOOKUP($B111,Water!$B$2:$L$235,11,FALSE)),"")</f>
        <v/>
      </c>
      <c r="D111" s="29" t="str">
        <f>IF(COUNT(VLOOKUP($B111,Food!$B$2:$K$236,10,FALSE)&amp;"")=1,VLOOKUP($B111,Food!$B$2:$K$236,10,FALSE),"")</f>
        <v/>
      </c>
      <c r="E111" s="29" t="str">
        <f>IF(COUNT(VLOOKUP($B111,Housing!$B$2:$L$236,11,FALSE)&amp;"")=1,VLOOKUP($B111,Housing!$B$2:$L$236,11,FALSE),"")</f>
        <v/>
      </c>
      <c r="F111" s="29" t="str">
        <f>IF(COUNT(VLOOKUP($B111,Employment!$B$2:$M$236,12,FALSE)&amp;"")=1,VLOOKUP($B111,Employment!$B$2:$M$236,12,FALSE),"")</f>
        <v/>
      </c>
      <c r="G111" s="29" t="str">
        <f>IF(COUNT(VLOOKUP($B111,Education!$B$2:$L$236,11,FALSE)&amp;"")=1,VLOOKUP($B111,Education!$B$2:$L$236,11,FALSE),"")</f>
        <v/>
      </c>
      <c r="H111" s="29" t="str">
        <f>IF(COUNT(VLOOKUP($B111,Gender!$B$2:$K$236,10,FALSE)&amp;"")=1,VLOOKUP($B111,Gender!$B$2:$K$236,10,FALSE),"")</f>
        <v/>
      </c>
      <c r="I111" s="29" t="str">
        <f>IF(COUNT(VLOOKUP($B111,'Religious Freedom'!$B$2:$K$200,10,FALSE)&amp;"")=1,VLOOKUP($B111,'Religious Freedom'!$B$2:$K$200,10,FALSE),"")</f>
        <v/>
      </c>
    </row>
    <row r="112" ht="14.25" customHeight="1">
      <c r="A112" s="22" t="s">
        <v>217</v>
      </c>
      <c r="B112" s="22" t="s">
        <v>218</v>
      </c>
      <c r="C112" s="29" t="str">
        <f>IF(COUNT(VLOOKUP($B112,Water!$B$2:$L$235,11,FALSE)&amp;"")=1,(VLOOKUP($B112,Water!$B$2:$L$235,11,FALSE)),"")</f>
        <v/>
      </c>
      <c r="D112" s="29" t="str">
        <f>IF(COUNT(VLOOKUP($B112,Food!$B$2:$K$236,10,FALSE)&amp;"")=1,VLOOKUP($B112,Food!$B$2:$K$236,10,FALSE),"")</f>
        <v/>
      </c>
      <c r="E112" s="29" t="str">
        <f>IF(COUNT(VLOOKUP($B112,Housing!$B$2:$L$236,11,FALSE)&amp;"")=1,VLOOKUP($B112,Housing!$B$2:$L$236,11,FALSE),"")</f>
        <v/>
      </c>
      <c r="F112" s="29" t="str">
        <f>IF(COUNT(VLOOKUP($B112,Employment!$B$2:$M$236,12,FALSE)&amp;"")=1,VLOOKUP($B112,Employment!$B$2:$M$236,12,FALSE),"")</f>
        <v/>
      </c>
      <c r="G112" s="29" t="str">
        <f>IF(COUNT(VLOOKUP($B112,Education!$B$2:$L$236,11,FALSE)&amp;"")=1,VLOOKUP($B112,Education!$B$2:$L$236,11,FALSE),"")</f>
        <v/>
      </c>
      <c r="H112" s="29" t="str">
        <f>IF(COUNT(VLOOKUP($B112,Gender!$B$2:$K$236,10,FALSE)&amp;"")=1,VLOOKUP($B112,Gender!$B$2:$K$236,10,FALSE),"")</f>
        <v/>
      </c>
      <c r="I112" s="29" t="str">
        <f>IF(COUNT(VLOOKUP($B112,'Religious Freedom'!$B$2:$K$200,10,FALSE)&amp;"")=1,VLOOKUP($B112,'Religious Freedom'!$B$2:$K$200,10,FALSE),"")</f>
        <v/>
      </c>
    </row>
    <row r="113" ht="14.25" customHeight="1">
      <c r="A113" s="22" t="s">
        <v>219</v>
      </c>
      <c r="B113" s="22" t="s">
        <v>220</v>
      </c>
      <c r="C113" s="29" t="str">
        <f>IF(COUNT(VLOOKUP($B113,Water!$B$2:$L$235,11,FALSE)&amp;"")=1,(VLOOKUP($B113,Water!$B$2:$L$235,11,FALSE)),"")</f>
        <v/>
      </c>
      <c r="D113" s="29" t="str">
        <f>IF(COUNT(VLOOKUP($B113,Food!$B$2:$K$236,10,FALSE)&amp;"")=1,VLOOKUP($B113,Food!$B$2:$K$236,10,FALSE),"")</f>
        <v/>
      </c>
      <c r="E113" s="29" t="str">
        <f>IF(COUNT(VLOOKUP($B113,Housing!$B$2:$L$236,11,FALSE)&amp;"")=1,VLOOKUP($B113,Housing!$B$2:$L$236,11,FALSE),"")</f>
        <v/>
      </c>
      <c r="F113" s="29" t="str">
        <f>IF(COUNT(VLOOKUP($B113,Employment!$B$2:$M$236,12,FALSE)&amp;"")=1,VLOOKUP($B113,Employment!$B$2:$M$236,12,FALSE),"")</f>
        <v/>
      </c>
      <c r="G113" s="29" t="str">
        <f>IF(COUNT(VLOOKUP($B113,Education!$B$2:$L$236,11,FALSE)&amp;"")=1,VLOOKUP($B113,Education!$B$2:$L$236,11,FALSE),"")</f>
        <v/>
      </c>
      <c r="H113" s="29" t="str">
        <f>IF(COUNT(VLOOKUP($B113,Gender!$B$2:$K$236,10,FALSE)&amp;"")=1,VLOOKUP($B113,Gender!$B$2:$K$236,10,FALSE),"")</f>
        <v/>
      </c>
      <c r="I113" s="29" t="str">
        <f>IF(COUNT(VLOOKUP($B113,'Religious Freedom'!$B$2:$K$200,10,FALSE)&amp;"")=1,VLOOKUP($B113,'Religious Freedom'!$B$2:$K$200,10,FALSE),"")</f>
        <v/>
      </c>
    </row>
    <row r="114" ht="14.25" customHeight="1">
      <c r="A114" s="22" t="s">
        <v>221</v>
      </c>
      <c r="B114" s="22" t="s">
        <v>222</v>
      </c>
      <c r="C114" s="29" t="str">
        <f>IF(COUNT(VLOOKUP($B114,Water!$B$2:$L$235,11,FALSE)&amp;"")=1,(VLOOKUP($B114,Water!$B$2:$L$235,11,FALSE)),"")</f>
        <v/>
      </c>
      <c r="D114" s="29" t="str">
        <f>IF(COUNT(VLOOKUP($B114,Food!$B$2:$K$236,10,FALSE)&amp;"")=1,VLOOKUP($B114,Food!$B$2:$K$236,10,FALSE),"")</f>
        <v/>
      </c>
      <c r="E114" s="29" t="str">
        <f>IF(COUNT(VLOOKUP($B114,Housing!$B$2:$L$236,11,FALSE)&amp;"")=1,VLOOKUP($B114,Housing!$B$2:$L$236,11,FALSE),"")</f>
        <v/>
      </c>
      <c r="F114" s="29" t="str">
        <f>IF(COUNT(VLOOKUP($B114,Employment!$B$2:$M$236,12,FALSE)&amp;"")=1,VLOOKUP($B114,Employment!$B$2:$M$236,12,FALSE),"")</f>
        <v/>
      </c>
      <c r="G114" s="29" t="str">
        <f>IF(COUNT(VLOOKUP($B114,Education!$B$2:$L$236,11,FALSE)&amp;"")=1,VLOOKUP($B114,Education!$B$2:$L$236,11,FALSE),"")</f>
        <v/>
      </c>
      <c r="H114" s="29" t="str">
        <f>IF(COUNT(VLOOKUP($B114,Gender!$B$2:$K$236,10,FALSE)&amp;"")=1,VLOOKUP($B114,Gender!$B$2:$K$236,10,FALSE),"")</f>
        <v/>
      </c>
      <c r="I114" s="29" t="str">
        <f>IF(COUNT(VLOOKUP($B114,'Religious Freedom'!$B$2:$K$200,10,FALSE)&amp;"")=1,VLOOKUP($B114,'Religious Freedom'!$B$2:$K$200,10,FALSE),"")</f>
        <v/>
      </c>
    </row>
    <row r="115" ht="14.25" customHeight="1">
      <c r="A115" s="22" t="s">
        <v>223</v>
      </c>
      <c r="B115" s="22" t="s">
        <v>224</v>
      </c>
      <c r="C115" s="29" t="str">
        <f>IF(COUNT(VLOOKUP($B115,Water!$B$2:$L$235,11,FALSE)&amp;"")=1,(VLOOKUP($B115,Water!$B$2:$L$235,11,FALSE)),"")</f>
        <v/>
      </c>
      <c r="D115" s="29" t="str">
        <f>IF(COUNT(VLOOKUP($B115,Food!$B$2:$K$236,10,FALSE)&amp;"")=1,VLOOKUP($B115,Food!$B$2:$K$236,10,FALSE),"")</f>
        <v/>
      </c>
      <c r="E115" s="29" t="str">
        <f>IF(COUNT(VLOOKUP($B115,Housing!$B$2:$L$236,11,FALSE)&amp;"")=1,VLOOKUP($B115,Housing!$B$2:$L$236,11,FALSE),"")</f>
        <v/>
      </c>
      <c r="F115" s="29" t="str">
        <f>IF(COUNT(VLOOKUP($B115,Employment!$B$2:$M$236,12,FALSE)&amp;"")=1,VLOOKUP($B115,Employment!$B$2:$M$236,12,FALSE),"")</f>
        <v/>
      </c>
      <c r="G115" s="29" t="str">
        <f>IF(COUNT(VLOOKUP($B115,Education!$B$2:$L$236,11,FALSE)&amp;"")=1,VLOOKUP($B115,Education!$B$2:$L$236,11,FALSE),"")</f>
        <v/>
      </c>
      <c r="H115" s="29" t="str">
        <f>IF(COUNT(VLOOKUP($B115,Gender!$B$2:$K$236,10,FALSE)&amp;"")=1,VLOOKUP($B115,Gender!$B$2:$K$236,10,FALSE),"")</f>
        <v/>
      </c>
      <c r="I115" s="29" t="str">
        <f>IF(COUNT(VLOOKUP($B115,'Religious Freedom'!$B$2:$K$200,10,FALSE)&amp;"")=1,VLOOKUP($B115,'Religious Freedom'!$B$2:$K$200,10,FALSE),"")</f>
        <v/>
      </c>
    </row>
    <row r="116" ht="14.25" customHeight="1">
      <c r="A116" s="22" t="s">
        <v>225</v>
      </c>
      <c r="B116" s="22" t="s">
        <v>226</v>
      </c>
      <c r="C116" s="29" t="str">
        <f>IF(COUNT(VLOOKUP($B116,Water!$B$2:$L$235,11,FALSE)&amp;"")=1,(VLOOKUP($B116,Water!$B$2:$L$235,11,FALSE)),"")</f>
        <v/>
      </c>
      <c r="D116" s="29" t="str">
        <f>IF(COUNT(VLOOKUP($B116,Food!$B$2:$K$236,10,FALSE)&amp;"")=1,VLOOKUP($B116,Food!$B$2:$K$236,10,FALSE),"")</f>
        <v/>
      </c>
      <c r="E116" s="29" t="str">
        <f>IF(COUNT(VLOOKUP($B116,Housing!$B$2:$L$236,11,FALSE)&amp;"")=1,VLOOKUP($B116,Housing!$B$2:$L$236,11,FALSE),"")</f>
        <v/>
      </c>
      <c r="F116" s="29" t="str">
        <f>IF(COUNT(VLOOKUP($B116,Employment!$B$2:$M$236,12,FALSE)&amp;"")=1,VLOOKUP($B116,Employment!$B$2:$M$236,12,FALSE),"")</f>
        <v/>
      </c>
      <c r="G116" s="29" t="str">
        <f>IF(COUNT(VLOOKUP($B116,Education!$B$2:$L$236,11,FALSE)&amp;"")=1,VLOOKUP($B116,Education!$B$2:$L$236,11,FALSE),"")</f>
        <v/>
      </c>
      <c r="H116" s="29" t="str">
        <f>IF(COUNT(VLOOKUP($B116,Gender!$B$2:$K$236,10,FALSE)&amp;"")=1,VLOOKUP($B116,Gender!$B$2:$K$236,10,FALSE),"")</f>
        <v/>
      </c>
      <c r="I116" s="29" t="str">
        <f>IF(COUNT(VLOOKUP($B116,'Religious Freedom'!$B$2:$K$200,10,FALSE)&amp;"")=1,VLOOKUP($B116,'Religious Freedom'!$B$2:$K$200,10,FALSE),"")</f>
        <v/>
      </c>
    </row>
    <row r="117" ht="14.25" customHeight="1">
      <c r="A117" s="22" t="s">
        <v>227</v>
      </c>
      <c r="B117" s="22" t="s">
        <v>228</v>
      </c>
      <c r="C117" s="29" t="str">
        <f>IF(COUNT(VLOOKUP($B117,Water!$B$2:$L$235,11,FALSE)&amp;"")=1,(VLOOKUP($B117,Water!$B$2:$L$235,11,FALSE)),"")</f>
        <v/>
      </c>
      <c r="D117" s="29" t="str">
        <f>IF(COUNT(VLOOKUP($B117,Food!$B$2:$K$236,10,FALSE)&amp;"")=1,VLOOKUP($B117,Food!$B$2:$K$236,10,FALSE),"")</f>
        <v/>
      </c>
      <c r="E117" s="29" t="str">
        <f>IF(COUNT(VLOOKUP($B117,Housing!$B$2:$L$236,11,FALSE)&amp;"")=1,VLOOKUP($B117,Housing!$B$2:$L$236,11,FALSE),"")</f>
        <v/>
      </c>
      <c r="F117" s="29" t="str">
        <f>IF(COUNT(VLOOKUP($B117,Employment!$B$2:$M$236,12,FALSE)&amp;"")=1,VLOOKUP($B117,Employment!$B$2:$M$236,12,FALSE),"")</f>
        <v/>
      </c>
      <c r="G117" s="29" t="str">
        <f>IF(COUNT(VLOOKUP($B117,Education!$B$2:$L$236,11,FALSE)&amp;"")=1,VLOOKUP($B117,Education!$B$2:$L$236,11,FALSE),"")</f>
        <v/>
      </c>
      <c r="H117" s="29" t="str">
        <f>IF(COUNT(VLOOKUP($B117,Gender!$B$2:$K$236,10,FALSE)&amp;"")=1,VLOOKUP($B117,Gender!$B$2:$K$236,10,FALSE),"")</f>
        <v/>
      </c>
      <c r="I117" s="29" t="str">
        <f>IF(COUNT(VLOOKUP($B117,'Religious Freedom'!$B$2:$K$200,10,FALSE)&amp;"")=1,VLOOKUP($B117,'Religious Freedom'!$B$2:$K$200,10,FALSE),"")</f>
        <v/>
      </c>
    </row>
    <row r="118" ht="14.25" customHeight="1">
      <c r="A118" s="22" t="s">
        <v>524</v>
      </c>
      <c r="B118" s="22" t="s">
        <v>525</v>
      </c>
      <c r="C118" s="29"/>
      <c r="D118" s="29"/>
      <c r="E118" s="29"/>
      <c r="F118" s="29"/>
      <c r="G118" s="29"/>
      <c r="H118" s="29"/>
      <c r="I118" s="29" t="str">
        <f>IF(COUNT(VLOOKUP($B118,'Religious Freedom'!$B$2:$K$200,10,FALSE)&amp;"")=1,VLOOKUP($B118,'Religious Freedom'!$B$2:$K$200,10,FALSE),"")</f>
        <v/>
      </c>
    </row>
    <row r="119" ht="14.25" customHeight="1">
      <c r="A119" s="22" t="s">
        <v>229</v>
      </c>
      <c r="B119" s="22" t="s">
        <v>230</v>
      </c>
      <c r="C119" s="29" t="str">
        <f>IF(COUNT(VLOOKUP($B119,Water!$B$2:$L$235,11,FALSE)&amp;"")=1,(VLOOKUP($B119,Water!$B$2:$L$235,11,FALSE)),"")</f>
        <v/>
      </c>
      <c r="D119" s="29" t="str">
        <f>IF(COUNT(VLOOKUP($B119,Food!$B$2:$K$236,10,FALSE)&amp;"")=1,VLOOKUP($B119,Food!$B$2:$K$236,10,FALSE),"")</f>
        <v/>
      </c>
      <c r="E119" s="29" t="str">
        <f>IF(COUNT(VLOOKUP($B119,Housing!$B$2:$L$236,11,FALSE)&amp;"")=1,VLOOKUP($B119,Housing!$B$2:$L$236,11,FALSE),"")</f>
        <v/>
      </c>
      <c r="F119" s="29" t="str">
        <f>IF(COUNT(VLOOKUP($B119,Employment!$B$2:$M$236,12,FALSE)&amp;"")=1,VLOOKUP($B119,Employment!$B$2:$M$236,12,FALSE),"")</f>
        <v/>
      </c>
      <c r="G119" s="29" t="str">
        <f>IF(COUNT(VLOOKUP($B119,Education!$B$2:$L$236,11,FALSE)&amp;"")=1,VLOOKUP($B119,Education!$B$2:$L$236,11,FALSE),"")</f>
        <v/>
      </c>
      <c r="H119" s="29" t="str">
        <f>IF(COUNT(VLOOKUP($B119,Gender!$B$2:$K$236,10,FALSE)&amp;"")=1,VLOOKUP($B119,Gender!$B$2:$K$236,10,FALSE),"")</f>
        <v/>
      </c>
      <c r="I119" s="29" t="str">
        <f>IF(COUNT(VLOOKUP($B119,'Religious Freedom'!$B$2:$K$200,10,FALSE)&amp;"")=1,VLOOKUP($B119,'Religious Freedom'!$B$2:$K$200,10,FALSE),"")</f>
        <v/>
      </c>
    </row>
    <row r="120" ht="14.25" customHeight="1">
      <c r="A120" s="22" t="s">
        <v>231</v>
      </c>
      <c r="B120" s="22" t="s">
        <v>232</v>
      </c>
      <c r="C120" s="29" t="str">
        <f>IF(COUNT(VLOOKUP($B120,Water!$B$2:$L$235,11,FALSE)&amp;"")=1,(VLOOKUP($B120,Water!$B$2:$L$235,11,FALSE)),"")</f>
        <v/>
      </c>
      <c r="D120" s="29" t="str">
        <f>IF(COUNT(VLOOKUP($B120,Food!$B$2:$K$236,10,FALSE)&amp;"")=1,VLOOKUP($B120,Food!$B$2:$K$236,10,FALSE),"")</f>
        <v/>
      </c>
      <c r="E120" s="29" t="str">
        <f>IF(COUNT(VLOOKUP($B120,Housing!$B$2:$L$236,11,FALSE)&amp;"")=1,VLOOKUP($B120,Housing!$B$2:$L$236,11,FALSE),"")</f>
        <v/>
      </c>
      <c r="F120" s="29" t="str">
        <f>IF(COUNT(VLOOKUP($B120,Employment!$B$2:$M$236,12,FALSE)&amp;"")=1,VLOOKUP($B120,Employment!$B$2:$M$236,12,FALSE),"")</f>
        <v/>
      </c>
      <c r="G120" s="29" t="str">
        <f>IF(COUNT(VLOOKUP($B120,Education!$B$2:$L$236,11,FALSE)&amp;"")=1,VLOOKUP($B120,Education!$B$2:$L$236,11,FALSE),"")</f>
        <v/>
      </c>
      <c r="H120" s="29" t="str">
        <f>IF(COUNT(VLOOKUP($B120,Gender!$B$2:$K$236,10,FALSE)&amp;"")=1,VLOOKUP($B120,Gender!$B$2:$K$236,10,FALSE),"")</f>
        <v/>
      </c>
      <c r="I120" s="29" t="str">
        <f>IF(COUNT(VLOOKUP($B120,'Religious Freedom'!$B$2:$K$200,10,FALSE)&amp;"")=1,VLOOKUP($B120,'Religious Freedom'!$B$2:$K$200,10,FALSE),"")</f>
        <v/>
      </c>
    </row>
    <row r="121" ht="14.25" customHeight="1">
      <c r="A121" s="22" t="s">
        <v>233</v>
      </c>
      <c r="B121" s="22" t="s">
        <v>234</v>
      </c>
      <c r="C121" s="29" t="str">
        <f>IF(COUNT(VLOOKUP($B121,Water!$B$2:$L$235,11,FALSE)&amp;"")=1,(VLOOKUP($B121,Water!$B$2:$L$235,11,FALSE)),"")</f>
        <v/>
      </c>
      <c r="D121" s="29" t="str">
        <f>IF(COUNT(VLOOKUP($B121,Food!$B$2:$K$236,10,FALSE)&amp;"")=1,VLOOKUP($B121,Food!$B$2:$K$236,10,FALSE),"")</f>
        <v/>
      </c>
      <c r="E121" s="29" t="str">
        <f>IF(COUNT(VLOOKUP($B121,Housing!$B$2:$L$236,11,FALSE)&amp;"")=1,VLOOKUP($B121,Housing!$B$2:$L$236,11,FALSE),"")</f>
        <v/>
      </c>
      <c r="F121" s="29" t="str">
        <f>IF(COUNT(VLOOKUP($B121,Employment!$B$2:$M$236,12,FALSE)&amp;"")=1,VLOOKUP($B121,Employment!$B$2:$M$236,12,FALSE),"")</f>
        <v/>
      </c>
      <c r="G121" s="29" t="str">
        <f>IF(COUNT(VLOOKUP($B121,Education!$B$2:$L$236,11,FALSE)&amp;"")=1,VLOOKUP($B121,Education!$B$2:$L$236,11,FALSE),"")</f>
        <v/>
      </c>
      <c r="H121" s="29" t="str">
        <f>IF(COUNT(VLOOKUP($B121,Gender!$B$2:$K$236,10,FALSE)&amp;"")=1,VLOOKUP($B121,Gender!$B$2:$K$236,10,FALSE),"")</f>
        <v/>
      </c>
      <c r="I121" s="29" t="str">
        <f>IF(COUNT(VLOOKUP($B121,'Religious Freedom'!$B$2:$K$200,10,FALSE)&amp;"")=1,VLOOKUP($B121,'Religious Freedom'!$B$2:$K$200,10,FALSE),"")</f>
        <v/>
      </c>
    </row>
    <row r="122" ht="14.25" customHeight="1">
      <c r="A122" s="22" t="s">
        <v>235</v>
      </c>
      <c r="B122" s="22" t="s">
        <v>236</v>
      </c>
      <c r="C122" s="29" t="str">
        <f>IF(COUNT(VLOOKUP($B122,Water!$B$2:$L$235,11,FALSE)&amp;"")=1,(VLOOKUP($B122,Water!$B$2:$L$235,11,FALSE)),"")</f>
        <v/>
      </c>
      <c r="D122" s="29" t="str">
        <f>IF(COUNT(VLOOKUP($B122,Food!$B$2:$K$236,10,FALSE)&amp;"")=1,VLOOKUP($B122,Food!$B$2:$K$236,10,FALSE),"")</f>
        <v/>
      </c>
      <c r="E122" s="29" t="str">
        <f>IF(COUNT(VLOOKUP($B122,Housing!$B$2:$L$236,11,FALSE)&amp;"")=1,VLOOKUP($B122,Housing!$B$2:$L$236,11,FALSE),"")</f>
        <v/>
      </c>
      <c r="F122" s="29" t="str">
        <f>IF(COUNT(VLOOKUP($B122,Employment!$B$2:$M$236,12,FALSE)&amp;"")=1,VLOOKUP($B122,Employment!$B$2:$M$236,12,FALSE),"")</f>
        <v/>
      </c>
      <c r="G122" s="29" t="str">
        <f>IF(COUNT(VLOOKUP($B122,Education!$B$2:$L$236,11,FALSE)&amp;"")=1,VLOOKUP($B122,Education!$B$2:$L$236,11,FALSE),"")</f>
        <v/>
      </c>
      <c r="H122" s="29" t="str">
        <f>IF(COUNT(VLOOKUP($B122,Gender!$B$2:$K$236,10,FALSE)&amp;"")=1,VLOOKUP($B122,Gender!$B$2:$K$236,10,FALSE),"")</f>
        <v/>
      </c>
      <c r="I122" s="29" t="str">
        <f>IF(COUNT(VLOOKUP($B122,'Religious Freedom'!$B$2:$K$200,10,FALSE)&amp;"")=1,VLOOKUP($B122,'Religious Freedom'!$B$2:$K$200,10,FALSE),"")</f>
        <v/>
      </c>
    </row>
    <row r="123" ht="14.25" customHeight="1">
      <c r="A123" s="22" t="s">
        <v>237</v>
      </c>
      <c r="B123" s="22" t="s">
        <v>238</v>
      </c>
      <c r="C123" s="29" t="str">
        <f>IF(COUNT(VLOOKUP($B123,Water!$B$2:$L$235,11,FALSE)&amp;"")=1,(VLOOKUP($B123,Water!$B$2:$L$235,11,FALSE)),"")</f>
        <v/>
      </c>
      <c r="D123" s="29" t="str">
        <f>IF(COUNT(VLOOKUP($B123,Food!$B$2:$K$236,10,FALSE)&amp;"")=1,VLOOKUP($B123,Food!$B$2:$K$236,10,FALSE),"")</f>
        <v/>
      </c>
      <c r="E123" s="29" t="str">
        <f>IF(COUNT(VLOOKUP($B123,Housing!$B$2:$L$236,11,FALSE)&amp;"")=1,VLOOKUP($B123,Housing!$B$2:$L$236,11,FALSE),"")</f>
        <v/>
      </c>
      <c r="F123" s="29" t="str">
        <f>IF(COUNT(VLOOKUP($B123,Employment!$B$2:$M$236,12,FALSE)&amp;"")=1,VLOOKUP($B123,Employment!$B$2:$M$236,12,FALSE),"")</f>
        <v/>
      </c>
      <c r="G123" s="29" t="str">
        <f>IF(COUNT(VLOOKUP($B123,Education!$B$2:$L$236,11,FALSE)&amp;"")=1,VLOOKUP($B123,Education!$B$2:$L$236,11,FALSE),"")</f>
        <v/>
      </c>
      <c r="H123" s="29" t="str">
        <f>IF(COUNT(VLOOKUP($B123,Gender!$B$2:$K$236,10,FALSE)&amp;"")=1,VLOOKUP($B123,Gender!$B$2:$K$236,10,FALSE),"")</f>
        <v/>
      </c>
      <c r="I123" s="29" t="str">
        <f>IF(COUNT(VLOOKUP($B123,'Religious Freedom'!$B$2:$K$200,10,FALSE)&amp;"")=1,VLOOKUP($B123,'Religious Freedom'!$B$2:$K$200,10,FALSE),"")</f>
        <v/>
      </c>
    </row>
    <row r="124" ht="14.25" customHeight="1">
      <c r="A124" s="22" t="s">
        <v>239</v>
      </c>
      <c r="B124" s="22" t="s">
        <v>240</v>
      </c>
      <c r="C124" s="29" t="str">
        <f>IF(COUNT(VLOOKUP($B124,Water!$B$2:$L$235,11,FALSE)&amp;"")=1,(VLOOKUP($B124,Water!$B$2:$L$235,11,FALSE)),"")</f>
        <v/>
      </c>
      <c r="D124" s="29" t="str">
        <f>IF(COUNT(VLOOKUP($B124,Food!$B$2:$K$236,10,FALSE)&amp;"")=1,VLOOKUP($B124,Food!$B$2:$K$236,10,FALSE),"")</f>
        <v/>
      </c>
      <c r="E124" s="29" t="str">
        <f>IF(COUNT(VLOOKUP($B124,Housing!$B$2:$L$236,11,FALSE)&amp;"")=1,VLOOKUP($B124,Housing!$B$2:$L$236,11,FALSE),"")</f>
        <v/>
      </c>
      <c r="F124" s="29" t="str">
        <f>IF(COUNT(VLOOKUP($B124,Employment!$B$2:$M$236,12,FALSE)&amp;"")=1,VLOOKUP($B124,Employment!$B$2:$M$236,12,FALSE),"")</f>
        <v/>
      </c>
      <c r="G124" s="29" t="str">
        <f>IF(COUNT(VLOOKUP($B124,Education!$B$2:$L$236,11,FALSE)&amp;"")=1,VLOOKUP($B124,Education!$B$2:$L$236,11,FALSE),"")</f>
        <v/>
      </c>
      <c r="H124" s="29" t="str">
        <f>IF(COUNT(VLOOKUP($B124,Gender!$B$2:$K$236,10,FALSE)&amp;"")=1,VLOOKUP($B124,Gender!$B$2:$K$236,10,FALSE),"")</f>
        <v/>
      </c>
      <c r="I124" s="29" t="str">
        <f>IF(COUNT(VLOOKUP($B124,'Religious Freedom'!$B$2:$K$200,10,FALSE)&amp;"")=1,VLOOKUP($B124,'Religious Freedom'!$B$2:$K$200,10,FALSE),"")</f>
        <v/>
      </c>
    </row>
    <row r="125" ht="14.25" customHeight="1">
      <c r="A125" s="22" t="s">
        <v>241</v>
      </c>
      <c r="B125" s="22" t="s">
        <v>242</v>
      </c>
      <c r="C125" s="29" t="str">
        <f>IF(COUNT(VLOOKUP($B125,Water!$B$2:$L$235,11,FALSE)&amp;"")=1,(VLOOKUP($B125,Water!$B$2:$L$235,11,FALSE)),"")</f>
        <v/>
      </c>
      <c r="D125" s="29" t="str">
        <f>IF(COUNT(VLOOKUP($B125,Food!$B$2:$K$236,10,FALSE)&amp;"")=1,VLOOKUP($B125,Food!$B$2:$K$236,10,FALSE),"")</f>
        <v/>
      </c>
      <c r="E125" s="29" t="str">
        <f>IF(COUNT(VLOOKUP($B125,Housing!$B$2:$L$236,11,FALSE)&amp;"")=1,VLOOKUP($B125,Housing!$B$2:$L$236,11,FALSE),"")</f>
        <v/>
      </c>
      <c r="F125" s="29" t="str">
        <f>IF(COUNT(VLOOKUP($B125,Employment!$B$2:$M$236,12,FALSE)&amp;"")=1,VLOOKUP($B125,Employment!$B$2:$M$236,12,FALSE),"")</f>
        <v/>
      </c>
      <c r="G125" s="29" t="str">
        <f>IF(COUNT(VLOOKUP($B125,Education!$B$2:$L$236,11,FALSE)&amp;"")=1,VLOOKUP($B125,Education!$B$2:$L$236,11,FALSE),"")</f>
        <v/>
      </c>
      <c r="H125" s="29" t="str">
        <f>IF(COUNT(VLOOKUP($B125,Gender!$B$2:$K$236,10,FALSE)&amp;"")=1,VLOOKUP($B125,Gender!$B$2:$K$236,10,FALSE),"")</f>
        <v/>
      </c>
      <c r="I125" s="29" t="str">
        <f>IF(COUNT(VLOOKUP($B125,'Religious Freedom'!$B$2:$K$200,10,FALSE)&amp;"")=1,VLOOKUP($B125,'Religious Freedom'!$B$2:$K$200,10,FALSE),"")</f>
        <v/>
      </c>
    </row>
    <row r="126" ht="14.25" customHeight="1">
      <c r="A126" s="22" t="s">
        <v>243</v>
      </c>
      <c r="B126" s="22" t="s">
        <v>244</v>
      </c>
      <c r="C126" s="29" t="str">
        <f>IF(COUNT(VLOOKUP($B126,Water!$B$2:$L$235,11,FALSE)&amp;"")=1,(VLOOKUP($B126,Water!$B$2:$L$235,11,FALSE)),"")</f>
        <v/>
      </c>
      <c r="D126" s="29" t="str">
        <f>IF(COUNT(VLOOKUP($B126,Food!$B$2:$K$236,10,FALSE)&amp;"")=1,VLOOKUP($B126,Food!$B$2:$K$236,10,FALSE),"")</f>
        <v/>
      </c>
      <c r="E126" s="29" t="str">
        <f>IF(COUNT(VLOOKUP($B126,Housing!$B$2:$L$236,11,FALSE)&amp;"")=1,VLOOKUP($B126,Housing!$B$2:$L$236,11,FALSE),"")</f>
        <v/>
      </c>
      <c r="F126" s="29" t="str">
        <f>IF(COUNT(VLOOKUP($B126,Employment!$B$2:$M$236,12,FALSE)&amp;"")=1,VLOOKUP($B126,Employment!$B$2:$M$236,12,FALSE),"")</f>
        <v/>
      </c>
      <c r="G126" s="29" t="str">
        <f>IF(COUNT(VLOOKUP($B126,Education!$B$2:$L$236,11,FALSE)&amp;"")=1,VLOOKUP($B126,Education!$B$2:$L$236,11,FALSE),"")</f>
        <v/>
      </c>
      <c r="H126" s="29" t="str">
        <f>IF(COUNT(VLOOKUP($B126,Gender!$B$2:$K$236,10,FALSE)&amp;"")=1,VLOOKUP($B126,Gender!$B$2:$K$236,10,FALSE),"")</f>
        <v/>
      </c>
      <c r="I126" s="29" t="str">
        <f>IF(COUNT(VLOOKUP($B126,'Religious Freedom'!$B$2:$K$200,10,FALSE)&amp;"")=1,VLOOKUP($B126,'Religious Freedom'!$B$2:$K$200,10,FALSE),"")</f>
        <v/>
      </c>
    </row>
    <row r="127" ht="14.25" customHeight="1">
      <c r="A127" s="22" t="s">
        <v>245</v>
      </c>
      <c r="B127" s="22" t="s">
        <v>246</v>
      </c>
      <c r="C127" s="29" t="str">
        <f>IF(COUNT(VLOOKUP($B127,Water!$B$2:$L$235,11,FALSE)&amp;"")=1,(VLOOKUP($B127,Water!$B$2:$L$235,11,FALSE)),"")</f>
        <v/>
      </c>
      <c r="D127" s="29" t="str">
        <f>IF(COUNT(VLOOKUP($B127,Food!$B$2:$K$236,10,FALSE)&amp;"")=1,VLOOKUP($B127,Food!$B$2:$K$236,10,FALSE),"")</f>
        <v/>
      </c>
      <c r="E127" s="29" t="str">
        <f>IF(COUNT(VLOOKUP($B127,Housing!$B$2:$L$236,11,FALSE)&amp;"")=1,VLOOKUP($B127,Housing!$B$2:$L$236,11,FALSE),"")</f>
        <v/>
      </c>
      <c r="F127" s="29" t="str">
        <f>IF(COUNT(VLOOKUP($B127,Employment!$B$2:$M$236,12,FALSE)&amp;"")=1,VLOOKUP($B127,Employment!$B$2:$M$236,12,FALSE),"")</f>
        <v/>
      </c>
      <c r="G127" s="29" t="str">
        <f>IF(COUNT(VLOOKUP($B127,Education!$B$2:$L$236,11,FALSE)&amp;"")=1,VLOOKUP($B127,Education!$B$2:$L$236,11,FALSE),"")</f>
        <v/>
      </c>
      <c r="H127" s="29" t="str">
        <f>IF(COUNT(VLOOKUP($B127,Gender!$B$2:$K$236,10,FALSE)&amp;"")=1,VLOOKUP($B127,Gender!$B$2:$K$236,10,FALSE),"")</f>
        <v/>
      </c>
      <c r="I127" s="29" t="str">
        <f>IF(COUNT(VLOOKUP($B127,'Religious Freedom'!$B$2:$K$200,10,FALSE)&amp;"")=1,VLOOKUP($B127,'Religious Freedom'!$B$2:$K$200,10,FALSE),"")</f>
        <v/>
      </c>
    </row>
    <row r="128" ht="14.25" customHeight="1">
      <c r="A128" s="22" t="s">
        <v>247</v>
      </c>
      <c r="B128" s="22" t="s">
        <v>248</v>
      </c>
      <c r="C128" s="29" t="str">
        <f>IF(COUNT(VLOOKUP($B128,Water!$B$2:$L$235,11,FALSE)&amp;"")=1,(VLOOKUP($B128,Water!$B$2:$L$235,11,FALSE)),"")</f>
        <v/>
      </c>
      <c r="D128" s="29" t="str">
        <f>IF(COUNT(VLOOKUP($B128,Food!$B$2:$K$236,10,FALSE)&amp;"")=1,VLOOKUP($B128,Food!$B$2:$K$236,10,FALSE),"")</f>
        <v/>
      </c>
      <c r="E128" s="29" t="str">
        <f>IF(COUNT(VLOOKUP($B128,Housing!$B$2:$L$236,11,FALSE)&amp;"")=1,VLOOKUP($B128,Housing!$B$2:$L$236,11,FALSE),"")</f>
        <v/>
      </c>
      <c r="F128" s="29" t="str">
        <f>IF(COUNT(VLOOKUP($B128,Employment!$B$2:$M$236,12,FALSE)&amp;"")=1,VLOOKUP($B128,Employment!$B$2:$M$236,12,FALSE),"")</f>
        <v/>
      </c>
      <c r="G128" s="29" t="str">
        <f>IF(COUNT(VLOOKUP($B128,Education!$B$2:$L$236,11,FALSE)&amp;"")=1,VLOOKUP($B128,Education!$B$2:$L$236,11,FALSE),"")</f>
        <v/>
      </c>
      <c r="H128" s="29" t="str">
        <f>IF(COUNT(VLOOKUP($B128,Gender!$B$2:$K$236,10,FALSE)&amp;"")=1,VLOOKUP($B128,Gender!$B$2:$K$236,10,FALSE),"")</f>
        <v/>
      </c>
      <c r="I128" s="29" t="str">
        <f>IF(COUNT(VLOOKUP($B128,'Religious Freedom'!$B$2:$K$200,10,FALSE)&amp;"")=1,VLOOKUP($B128,'Religious Freedom'!$B$2:$K$200,10,FALSE),"")</f>
        <v/>
      </c>
    </row>
    <row r="129" ht="14.25" customHeight="1">
      <c r="A129" s="22" t="s">
        <v>249</v>
      </c>
      <c r="B129" s="22" t="s">
        <v>250</v>
      </c>
      <c r="C129" s="29" t="str">
        <f>IF(COUNT(VLOOKUP($B129,Water!$B$2:$L$235,11,FALSE)&amp;"")=1,(VLOOKUP($B129,Water!$B$2:$L$235,11,FALSE)),"")</f>
        <v/>
      </c>
      <c r="D129" s="29" t="str">
        <f>IF(COUNT(VLOOKUP($B129,Food!$B$2:$K$236,10,FALSE)&amp;"")=1,VLOOKUP($B129,Food!$B$2:$K$236,10,FALSE),"")</f>
        <v/>
      </c>
      <c r="E129" s="29" t="str">
        <f>IF(COUNT(VLOOKUP($B129,Housing!$B$2:$L$236,11,FALSE)&amp;"")=1,VLOOKUP($B129,Housing!$B$2:$L$236,11,FALSE),"")</f>
        <v/>
      </c>
      <c r="F129" s="29" t="str">
        <f>IF(COUNT(VLOOKUP($B129,Employment!$B$2:$M$236,12,FALSE)&amp;"")=1,VLOOKUP($B129,Employment!$B$2:$M$236,12,FALSE),"")</f>
        <v/>
      </c>
      <c r="G129" s="29" t="str">
        <f>IF(COUNT(VLOOKUP($B129,Education!$B$2:$L$236,11,FALSE)&amp;"")=1,VLOOKUP($B129,Education!$B$2:$L$236,11,FALSE),"")</f>
        <v/>
      </c>
      <c r="H129" s="29" t="str">
        <f>IF(COUNT(VLOOKUP($B129,Gender!$B$2:$K$236,10,FALSE)&amp;"")=1,VLOOKUP($B129,Gender!$B$2:$K$236,10,FALSE),"")</f>
        <v/>
      </c>
      <c r="I129" s="29" t="str">
        <f>IF(COUNT(VLOOKUP($B129,'Religious Freedom'!$B$2:$K$200,10,FALSE)&amp;"")=1,VLOOKUP($B129,'Religious Freedom'!$B$2:$K$200,10,FALSE),"")</f>
        <v/>
      </c>
    </row>
    <row r="130" ht="14.25" customHeight="1">
      <c r="A130" s="22" t="s">
        <v>251</v>
      </c>
      <c r="B130" s="22" t="s">
        <v>252</v>
      </c>
      <c r="C130" s="29" t="str">
        <f>IF(COUNT(VLOOKUP($B130,Water!$B$2:$L$235,11,FALSE)&amp;"")=1,(VLOOKUP($B130,Water!$B$2:$L$235,11,FALSE)),"")</f>
        <v/>
      </c>
      <c r="D130" s="29" t="str">
        <f>IF(COUNT(VLOOKUP($B130,Food!$B$2:$K$236,10,FALSE)&amp;"")=1,VLOOKUP($B130,Food!$B$2:$K$236,10,FALSE),"")</f>
        <v/>
      </c>
      <c r="E130" s="29" t="str">
        <f>IF(COUNT(VLOOKUP($B130,Housing!$B$2:$L$236,11,FALSE)&amp;"")=1,VLOOKUP($B130,Housing!$B$2:$L$236,11,FALSE),"")</f>
        <v/>
      </c>
      <c r="F130" s="29" t="str">
        <f>IF(COUNT(VLOOKUP($B130,Employment!$B$2:$M$236,12,FALSE)&amp;"")=1,VLOOKUP($B130,Employment!$B$2:$M$236,12,FALSE),"")</f>
        <v/>
      </c>
      <c r="G130" s="29" t="str">
        <f>IF(COUNT(VLOOKUP($B130,Education!$B$2:$L$236,11,FALSE)&amp;"")=1,VLOOKUP($B130,Education!$B$2:$L$236,11,FALSE),"")</f>
        <v/>
      </c>
      <c r="H130" s="29" t="str">
        <f>IF(COUNT(VLOOKUP($B130,Gender!$B$2:$K$236,10,FALSE)&amp;"")=1,VLOOKUP($B130,Gender!$B$2:$K$236,10,FALSE),"")</f>
        <v/>
      </c>
      <c r="I130" s="29" t="str">
        <f>IF(COUNT(VLOOKUP($B130,'Religious Freedom'!$B$2:$K$200,10,FALSE)&amp;"")=1,VLOOKUP($B130,'Religious Freedom'!$B$2:$K$200,10,FALSE),"")</f>
        <v/>
      </c>
    </row>
    <row r="131" ht="14.25" customHeight="1">
      <c r="A131" s="22" t="s">
        <v>253</v>
      </c>
      <c r="B131" s="22" t="s">
        <v>254</v>
      </c>
      <c r="C131" s="29" t="str">
        <f>IF(COUNT(VLOOKUP($B131,Water!$B$2:$L$235,11,FALSE)&amp;"")=1,(VLOOKUP($B131,Water!$B$2:$L$235,11,FALSE)),"")</f>
        <v/>
      </c>
      <c r="D131" s="29" t="str">
        <f>IF(COUNT(VLOOKUP($B131,Food!$B$2:$K$236,10,FALSE)&amp;"")=1,VLOOKUP($B131,Food!$B$2:$K$236,10,FALSE),"")</f>
        <v/>
      </c>
      <c r="E131" s="29" t="str">
        <f>IF(COUNT(VLOOKUP($B131,Housing!$B$2:$L$236,11,FALSE)&amp;"")=1,VLOOKUP($B131,Housing!$B$2:$L$236,11,FALSE),"")</f>
        <v/>
      </c>
      <c r="F131" s="29" t="str">
        <f>IF(COUNT(VLOOKUP($B131,Employment!$B$2:$M$236,12,FALSE)&amp;"")=1,VLOOKUP($B131,Employment!$B$2:$M$236,12,FALSE),"")</f>
        <v/>
      </c>
      <c r="G131" s="29" t="str">
        <f>IF(COUNT(VLOOKUP($B131,Education!$B$2:$L$236,11,FALSE)&amp;"")=1,VLOOKUP($B131,Education!$B$2:$L$236,11,FALSE),"")</f>
        <v/>
      </c>
      <c r="H131" s="29" t="str">
        <f>IF(COUNT(VLOOKUP($B131,Gender!$B$2:$K$236,10,FALSE)&amp;"")=1,VLOOKUP($B131,Gender!$B$2:$K$236,10,FALSE),"")</f>
        <v/>
      </c>
      <c r="I131" s="29" t="str">
        <f>IF(COUNT(VLOOKUP($B131,'Religious Freedom'!$B$2:$K$200,10,FALSE)&amp;"")=1,VLOOKUP($B131,'Religious Freedom'!$B$2:$K$200,10,FALSE),"")</f>
        <v/>
      </c>
    </row>
    <row r="132" ht="14.25" customHeight="1">
      <c r="A132" s="22" t="s">
        <v>255</v>
      </c>
      <c r="B132" s="22" t="s">
        <v>256</v>
      </c>
      <c r="C132" s="29" t="str">
        <f>IF(COUNT(VLOOKUP($B132,Water!$B$2:$L$235,11,FALSE)&amp;"")=1,(VLOOKUP($B132,Water!$B$2:$L$235,11,FALSE)),"")</f>
        <v/>
      </c>
      <c r="D132" s="29" t="str">
        <f>IF(COUNT(VLOOKUP($B132,Food!$B$2:$K$236,10,FALSE)&amp;"")=1,VLOOKUP($B132,Food!$B$2:$K$236,10,FALSE),"")</f>
        <v/>
      </c>
      <c r="E132" s="29" t="str">
        <f>IF(COUNT(VLOOKUP($B132,Housing!$B$2:$L$236,11,FALSE)&amp;"")=1,VLOOKUP($B132,Housing!$B$2:$L$236,11,FALSE),"")</f>
        <v/>
      </c>
      <c r="F132" s="29" t="str">
        <f>IF(COUNT(VLOOKUP($B132,Employment!$B$2:$M$236,12,FALSE)&amp;"")=1,VLOOKUP($B132,Employment!$B$2:$M$236,12,FALSE),"")</f>
        <v/>
      </c>
      <c r="G132" s="29" t="str">
        <f>IF(COUNT(VLOOKUP($B132,Education!$B$2:$L$236,11,FALSE)&amp;"")=1,VLOOKUP($B132,Education!$B$2:$L$236,11,FALSE),"")</f>
        <v/>
      </c>
      <c r="H132" s="29" t="str">
        <f>IF(COUNT(VLOOKUP($B132,Gender!$B$2:$K$236,10,FALSE)&amp;"")=1,VLOOKUP($B132,Gender!$B$2:$K$236,10,FALSE),"")</f>
        <v/>
      </c>
      <c r="I132" s="29" t="str">
        <f>IF(COUNT(VLOOKUP($B132,'Religious Freedom'!$B$2:$K$200,10,FALSE)&amp;"")=1,VLOOKUP($B132,'Religious Freedom'!$B$2:$K$200,10,FALSE),"")</f>
        <v/>
      </c>
    </row>
    <row r="133" ht="14.25" customHeight="1">
      <c r="A133" s="22" t="s">
        <v>257</v>
      </c>
      <c r="B133" s="22" t="s">
        <v>258</v>
      </c>
      <c r="C133" s="29" t="str">
        <f>IF(COUNT(VLOOKUP($B133,Water!$B$2:$L$235,11,FALSE)&amp;"")=1,(VLOOKUP($B133,Water!$B$2:$L$235,11,FALSE)),"")</f>
        <v/>
      </c>
      <c r="D133" s="29" t="str">
        <f>IF(COUNT(VLOOKUP($B133,Food!$B$2:$K$236,10,FALSE)&amp;"")=1,VLOOKUP($B133,Food!$B$2:$K$236,10,FALSE),"")</f>
        <v/>
      </c>
      <c r="E133" s="29" t="str">
        <f>IF(COUNT(VLOOKUP($B133,Housing!$B$2:$L$236,11,FALSE)&amp;"")=1,VLOOKUP($B133,Housing!$B$2:$L$236,11,FALSE),"")</f>
        <v/>
      </c>
      <c r="F133" s="29" t="str">
        <f>IF(COUNT(VLOOKUP($B133,Employment!$B$2:$M$236,12,FALSE)&amp;"")=1,VLOOKUP($B133,Employment!$B$2:$M$236,12,FALSE),"")</f>
        <v/>
      </c>
      <c r="G133" s="29" t="str">
        <f>IF(COUNT(VLOOKUP($B133,Education!$B$2:$L$236,11,FALSE)&amp;"")=1,VLOOKUP($B133,Education!$B$2:$L$236,11,FALSE),"")</f>
        <v/>
      </c>
      <c r="H133" s="29" t="str">
        <f>IF(COUNT(VLOOKUP($B133,Gender!$B$2:$K$236,10,FALSE)&amp;"")=1,VLOOKUP($B133,Gender!$B$2:$K$236,10,FALSE),"")</f>
        <v/>
      </c>
      <c r="I133" s="29" t="str">
        <f>IF(COUNT(VLOOKUP($B133,'Religious Freedom'!$B$2:$K$200,10,FALSE)&amp;"")=1,VLOOKUP($B133,'Religious Freedom'!$B$2:$K$200,10,FALSE),"")</f>
        <v/>
      </c>
    </row>
    <row r="134" ht="14.25" customHeight="1">
      <c r="A134" s="22" t="s">
        <v>259</v>
      </c>
      <c r="B134" s="22" t="s">
        <v>260</v>
      </c>
      <c r="C134" s="29" t="str">
        <f>IF(COUNT(VLOOKUP($B134,Water!$B$2:$L$235,11,FALSE)&amp;"")=1,(VLOOKUP($B134,Water!$B$2:$L$235,11,FALSE)),"")</f>
        <v/>
      </c>
      <c r="D134" s="29" t="str">
        <f>IF(COUNT(VLOOKUP($B134,Food!$B$2:$K$236,10,FALSE)&amp;"")=1,VLOOKUP($B134,Food!$B$2:$K$236,10,FALSE),"")</f>
        <v/>
      </c>
      <c r="E134" s="29" t="str">
        <f>IF(COUNT(VLOOKUP($B134,Housing!$B$2:$L$236,11,FALSE)&amp;"")=1,VLOOKUP($B134,Housing!$B$2:$L$236,11,FALSE),"")</f>
        <v/>
      </c>
      <c r="F134" s="29" t="str">
        <f>IF(COUNT(VLOOKUP($B134,Employment!$B$2:$M$236,12,FALSE)&amp;"")=1,VLOOKUP($B134,Employment!$B$2:$M$236,12,FALSE),"")</f>
        <v/>
      </c>
      <c r="G134" s="29" t="str">
        <f>IF(COUNT(VLOOKUP($B134,Education!$B$2:$L$236,11,FALSE)&amp;"")=1,VLOOKUP($B134,Education!$B$2:$L$236,11,FALSE),"")</f>
        <v/>
      </c>
      <c r="H134" s="29" t="str">
        <f>IF(COUNT(VLOOKUP($B134,Gender!$B$2:$K$236,10,FALSE)&amp;"")=1,VLOOKUP($B134,Gender!$B$2:$K$236,10,FALSE),"")</f>
        <v/>
      </c>
      <c r="I134" s="29" t="str">
        <f>IF(COUNT(VLOOKUP($B134,'Religious Freedom'!$B$2:$K$200,10,FALSE)&amp;"")=1,VLOOKUP($B134,'Religious Freedom'!$B$2:$K$200,10,FALSE),"")</f>
        <v/>
      </c>
    </row>
    <row r="135" ht="14.25" customHeight="1">
      <c r="A135" s="22" t="s">
        <v>261</v>
      </c>
      <c r="B135" s="22" t="s">
        <v>262</v>
      </c>
      <c r="C135" s="29" t="str">
        <f>IF(COUNT(VLOOKUP($B135,Water!$B$2:$L$235,11,FALSE)&amp;"")=1,(VLOOKUP($B135,Water!$B$2:$L$235,11,FALSE)),"")</f>
        <v/>
      </c>
      <c r="D135" s="29" t="str">
        <f>IF(COUNT(VLOOKUP($B135,Food!$B$2:$K$236,10,FALSE)&amp;"")=1,VLOOKUP($B135,Food!$B$2:$K$236,10,FALSE),"")</f>
        <v/>
      </c>
      <c r="E135" s="29" t="str">
        <f>IF(COUNT(VLOOKUP($B135,Housing!$B$2:$L$236,11,FALSE)&amp;"")=1,VLOOKUP($B135,Housing!$B$2:$L$236,11,FALSE),"")</f>
        <v/>
      </c>
      <c r="F135" s="29" t="str">
        <f>IF(COUNT(VLOOKUP($B135,Employment!$B$2:$M$236,12,FALSE)&amp;"")=1,VLOOKUP($B135,Employment!$B$2:$M$236,12,FALSE),"")</f>
        <v/>
      </c>
      <c r="G135" s="29" t="str">
        <f>IF(COUNT(VLOOKUP($B135,Education!$B$2:$L$236,11,FALSE)&amp;"")=1,VLOOKUP($B135,Education!$B$2:$L$236,11,FALSE),"")</f>
        <v/>
      </c>
      <c r="H135" s="29" t="str">
        <f>IF(COUNT(VLOOKUP($B135,Gender!$B$2:$K$236,10,FALSE)&amp;"")=1,VLOOKUP($B135,Gender!$B$2:$K$236,10,FALSE),"")</f>
        <v/>
      </c>
      <c r="I135" s="29" t="str">
        <f>IF(COUNT(VLOOKUP($B135,'Religious Freedom'!$B$2:$K$200,10,FALSE)&amp;"")=1,VLOOKUP($B135,'Religious Freedom'!$B$2:$K$200,10,FALSE),"")</f>
        <v/>
      </c>
    </row>
    <row r="136" ht="14.25" customHeight="1">
      <c r="A136" s="22" t="s">
        <v>263</v>
      </c>
      <c r="B136" s="22" t="s">
        <v>264</v>
      </c>
      <c r="C136" s="29" t="str">
        <f>IF(COUNT(VLOOKUP($B136,Water!$B$2:$L$235,11,FALSE)&amp;"")=1,(VLOOKUP($B136,Water!$B$2:$L$235,11,FALSE)),"")</f>
        <v/>
      </c>
      <c r="D136" s="29" t="str">
        <f>IF(COUNT(VLOOKUP($B136,Food!$B$2:$K$236,10,FALSE)&amp;"")=1,VLOOKUP($B136,Food!$B$2:$K$236,10,FALSE),"")</f>
        <v/>
      </c>
      <c r="E136" s="29" t="str">
        <f>IF(COUNT(VLOOKUP($B136,Housing!$B$2:$L$236,11,FALSE)&amp;"")=1,VLOOKUP($B136,Housing!$B$2:$L$236,11,FALSE),"")</f>
        <v/>
      </c>
      <c r="F136" s="29" t="str">
        <f>IF(COUNT(VLOOKUP($B136,Employment!$B$2:$M$236,12,FALSE)&amp;"")=1,VLOOKUP($B136,Employment!$B$2:$M$236,12,FALSE),"")</f>
        <v/>
      </c>
      <c r="G136" s="29" t="str">
        <f>IF(COUNT(VLOOKUP($B136,Education!$B$2:$L$236,11,FALSE)&amp;"")=1,VLOOKUP($B136,Education!$B$2:$L$236,11,FALSE),"")</f>
        <v/>
      </c>
      <c r="H136" s="29" t="str">
        <f>IF(COUNT(VLOOKUP($B136,Gender!$B$2:$K$236,10,FALSE)&amp;"")=1,VLOOKUP($B136,Gender!$B$2:$K$236,10,FALSE),"")</f>
        <v/>
      </c>
      <c r="I136" s="29" t="str">
        <f>IF(COUNT(VLOOKUP($B136,'Religious Freedom'!$B$2:$K$200,10,FALSE)&amp;"")=1,VLOOKUP($B136,'Religious Freedom'!$B$2:$K$200,10,FALSE),"")</f>
        <v/>
      </c>
    </row>
    <row r="137" ht="14.25" customHeight="1">
      <c r="A137" s="22" t="s">
        <v>265</v>
      </c>
      <c r="B137" s="22" t="s">
        <v>266</v>
      </c>
      <c r="C137" s="29" t="str">
        <f>IF(COUNT(VLOOKUP($B137,Water!$B$2:$L$235,11,FALSE)&amp;"")=1,(VLOOKUP($B137,Water!$B$2:$L$235,11,FALSE)),"")</f>
        <v/>
      </c>
      <c r="D137" s="29" t="str">
        <f>IF(COUNT(VLOOKUP($B137,Food!$B$2:$K$236,10,FALSE)&amp;"")=1,VLOOKUP($B137,Food!$B$2:$K$236,10,FALSE),"")</f>
        <v/>
      </c>
      <c r="E137" s="29" t="str">
        <f>IF(COUNT(VLOOKUP($B137,Housing!$B$2:$L$236,11,FALSE)&amp;"")=1,VLOOKUP($B137,Housing!$B$2:$L$236,11,FALSE),"")</f>
        <v/>
      </c>
      <c r="F137" s="29" t="str">
        <f>IF(COUNT(VLOOKUP($B137,Employment!$B$2:$M$236,12,FALSE)&amp;"")=1,VLOOKUP($B137,Employment!$B$2:$M$236,12,FALSE),"")</f>
        <v/>
      </c>
      <c r="G137" s="29" t="str">
        <f>IF(COUNT(VLOOKUP($B137,Education!$B$2:$L$236,11,FALSE)&amp;"")=1,VLOOKUP($B137,Education!$B$2:$L$236,11,FALSE),"")</f>
        <v/>
      </c>
      <c r="H137" s="29" t="str">
        <f>IF(COUNT(VLOOKUP($B137,Gender!$B$2:$K$236,10,FALSE)&amp;"")=1,VLOOKUP($B137,Gender!$B$2:$K$236,10,FALSE),"")</f>
        <v/>
      </c>
      <c r="I137" s="29" t="str">
        <f>IF(COUNT(VLOOKUP($B137,'Religious Freedom'!$B$2:$K$200,10,FALSE)&amp;"")=1,VLOOKUP($B137,'Religious Freedom'!$B$2:$K$200,10,FALSE),"")</f>
        <v/>
      </c>
    </row>
    <row r="138" ht="14.25" customHeight="1">
      <c r="A138" s="22" t="s">
        <v>267</v>
      </c>
      <c r="B138" s="22" t="s">
        <v>268</v>
      </c>
      <c r="C138" s="29" t="str">
        <f>IF(COUNT(VLOOKUP($B138,Water!$B$2:$L$235,11,FALSE)&amp;"")=1,(VLOOKUP($B138,Water!$B$2:$L$235,11,FALSE)),"")</f>
        <v/>
      </c>
      <c r="D138" s="29" t="str">
        <f>IF(COUNT(VLOOKUP($B138,Food!$B$2:$K$236,10,FALSE)&amp;"")=1,VLOOKUP($B138,Food!$B$2:$K$236,10,FALSE),"")</f>
        <v/>
      </c>
      <c r="E138" s="29" t="str">
        <f>IF(COUNT(VLOOKUP($B138,Housing!$B$2:$L$236,11,FALSE)&amp;"")=1,VLOOKUP($B138,Housing!$B$2:$L$236,11,FALSE),"")</f>
        <v/>
      </c>
      <c r="F138" s="29" t="str">
        <f>IF(COUNT(VLOOKUP($B138,Employment!$B$2:$M$236,12,FALSE)&amp;"")=1,VLOOKUP($B138,Employment!$B$2:$M$236,12,FALSE),"")</f>
        <v/>
      </c>
      <c r="G138" s="29" t="str">
        <f>IF(COUNT(VLOOKUP($B138,Education!$B$2:$L$236,11,FALSE)&amp;"")=1,VLOOKUP($B138,Education!$B$2:$L$236,11,FALSE),"")</f>
        <v/>
      </c>
      <c r="H138" s="29" t="str">
        <f>IF(COUNT(VLOOKUP($B138,Gender!$B$2:$K$236,10,FALSE)&amp;"")=1,VLOOKUP($B138,Gender!$B$2:$K$236,10,FALSE),"")</f>
        <v/>
      </c>
      <c r="I138" s="29" t="str">
        <f>IF(COUNT(VLOOKUP($B138,'Religious Freedom'!$B$2:$K$200,10,FALSE)&amp;"")=1,VLOOKUP($B138,'Religious Freedom'!$B$2:$K$200,10,FALSE),"")</f>
        <v/>
      </c>
    </row>
    <row r="139" ht="14.25" customHeight="1">
      <c r="A139" s="22" t="s">
        <v>269</v>
      </c>
      <c r="B139" s="22" t="s">
        <v>270</v>
      </c>
      <c r="C139" s="29" t="str">
        <f>IF(COUNT(VLOOKUP($B139,Water!$B$2:$L$235,11,FALSE)&amp;"")=1,(VLOOKUP($B139,Water!$B$2:$L$235,11,FALSE)),"")</f>
        <v/>
      </c>
      <c r="D139" s="29" t="str">
        <f>IF(COUNT(VLOOKUP($B139,Food!$B$2:$K$236,10,FALSE)&amp;"")=1,VLOOKUP($B139,Food!$B$2:$K$236,10,FALSE),"")</f>
        <v/>
      </c>
      <c r="E139" s="29" t="str">
        <f>IF(COUNT(VLOOKUP($B139,Housing!$B$2:$L$236,11,FALSE)&amp;"")=1,VLOOKUP($B139,Housing!$B$2:$L$236,11,FALSE),"")</f>
        <v/>
      </c>
      <c r="F139" s="29" t="str">
        <f>IF(COUNT(VLOOKUP($B139,Employment!$B$2:$M$236,12,FALSE)&amp;"")=1,VLOOKUP($B139,Employment!$B$2:$M$236,12,FALSE),"")</f>
        <v/>
      </c>
      <c r="G139" s="29" t="str">
        <f>IF(COUNT(VLOOKUP($B139,Education!$B$2:$L$236,11,FALSE)&amp;"")=1,VLOOKUP($B139,Education!$B$2:$L$236,11,FALSE),"")</f>
        <v/>
      </c>
      <c r="H139" s="29" t="str">
        <f>IF(COUNT(VLOOKUP($B139,Gender!$B$2:$K$236,10,FALSE)&amp;"")=1,VLOOKUP($B139,Gender!$B$2:$K$236,10,FALSE),"")</f>
        <v/>
      </c>
      <c r="I139" s="29" t="str">
        <f>IF(COUNT(VLOOKUP($B139,'Religious Freedom'!$B$2:$K$200,10,FALSE)&amp;"")=1,VLOOKUP($B139,'Religious Freedom'!$B$2:$K$200,10,FALSE),"")</f>
        <v/>
      </c>
    </row>
    <row r="140" ht="14.25" customHeight="1">
      <c r="A140" s="22" t="s">
        <v>271</v>
      </c>
      <c r="B140" s="22" t="s">
        <v>272</v>
      </c>
      <c r="C140" s="29" t="str">
        <f>IF(COUNT(VLOOKUP($B140,Water!$B$2:$L$235,11,FALSE)&amp;"")=1,(VLOOKUP($B140,Water!$B$2:$L$235,11,FALSE)),"")</f>
        <v/>
      </c>
      <c r="D140" s="29" t="str">
        <f>IF(COUNT(VLOOKUP($B140,Food!$B$2:$K$236,10,FALSE)&amp;"")=1,VLOOKUP($B140,Food!$B$2:$K$236,10,FALSE),"")</f>
        <v/>
      </c>
      <c r="E140" s="29" t="str">
        <f>IF(COUNT(VLOOKUP($B140,Housing!$B$2:$L$236,11,FALSE)&amp;"")=1,VLOOKUP($B140,Housing!$B$2:$L$236,11,FALSE),"")</f>
        <v/>
      </c>
      <c r="F140" s="29" t="str">
        <f>IF(COUNT(VLOOKUP($B140,Employment!$B$2:$M$236,12,FALSE)&amp;"")=1,VLOOKUP($B140,Employment!$B$2:$M$236,12,FALSE),"")</f>
        <v/>
      </c>
      <c r="G140" s="29" t="str">
        <f>IF(COUNT(VLOOKUP($B140,Education!$B$2:$L$236,11,FALSE)&amp;"")=1,VLOOKUP($B140,Education!$B$2:$L$236,11,FALSE),"")</f>
        <v/>
      </c>
      <c r="H140" s="29" t="str">
        <f>IF(COUNT(VLOOKUP($B140,Gender!$B$2:$K$236,10,FALSE)&amp;"")=1,VLOOKUP($B140,Gender!$B$2:$K$236,10,FALSE),"")</f>
        <v/>
      </c>
      <c r="I140" s="29" t="str">
        <f>IF(COUNT(VLOOKUP($B140,'Religious Freedom'!$B$2:$K$200,10,FALSE)&amp;"")=1,VLOOKUP($B140,'Religious Freedom'!$B$2:$K$200,10,FALSE),"")</f>
        <v/>
      </c>
    </row>
    <row r="141" ht="14.25" customHeight="1">
      <c r="A141" s="22" t="s">
        <v>273</v>
      </c>
      <c r="B141" s="22" t="s">
        <v>274</v>
      </c>
      <c r="C141" s="29" t="str">
        <f>IF(COUNT(VLOOKUP($B141,Water!$B$2:$L$235,11,FALSE)&amp;"")=1,(VLOOKUP($B141,Water!$B$2:$L$235,11,FALSE)),"")</f>
        <v/>
      </c>
      <c r="D141" s="29" t="str">
        <f>IF(COUNT(VLOOKUP($B141,Food!$B$2:$K$236,10,FALSE)&amp;"")=1,VLOOKUP($B141,Food!$B$2:$K$236,10,FALSE),"")</f>
        <v/>
      </c>
      <c r="E141" s="29" t="str">
        <f>IF(COUNT(VLOOKUP($B141,Housing!$B$2:$L$236,11,FALSE)&amp;"")=1,VLOOKUP($B141,Housing!$B$2:$L$236,11,FALSE),"")</f>
        <v/>
      </c>
      <c r="F141" s="29" t="str">
        <f>IF(COUNT(VLOOKUP($B141,Employment!$B$2:$M$236,12,FALSE)&amp;"")=1,VLOOKUP($B141,Employment!$B$2:$M$236,12,FALSE),"")</f>
        <v/>
      </c>
      <c r="G141" s="29" t="str">
        <f>IF(COUNT(VLOOKUP($B141,Education!$B$2:$L$236,11,FALSE)&amp;"")=1,VLOOKUP($B141,Education!$B$2:$L$236,11,FALSE),"")</f>
        <v/>
      </c>
      <c r="H141" s="29" t="str">
        <f>IF(COUNT(VLOOKUP($B141,Gender!$B$2:$K$236,10,FALSE)&amp;"")=1,VLOOKUP($B141,Gender!$B$2:$K$236,10,FALSE),"")</f>
        <v/>
      </c>
      <c r="I141" s="29" t="str">
        <f>IF(COUNT(VLOOKUP($B141,'Religious Freedom'!$B$2:$K$200,10,FALSE)&amp;"")=1,VLOOKUP($B141,'Religious Freedom'!$B$2:$K$200,10,FALSE),"")</f>
        <v/>
      </c>
    </row>
    <row r="142" ht="14.25" customHeight="1">
      <c r="A142" s="22" t="s">
        <v>275</v>
      </c>
      <c r="B142" s="22" t="s">
        <v>276</v>
      </c>
      <c r="C142" s="29" t="str">
        <f>IF(COUNT(VLOOKUP($B142,Water!$B$2:$L$235,11,FALSE)&amp;"")=1,(VLOOKUP($B142,Water!$B$2:$L$235,11,FALSE)),"")</f>
        <v/>
      </c>
      <c r="D142" s="29" t="str">
        <f>IF(COUNT(VLOOKUP($B142,Food!$B$2:$K$236,10,FALSE)&amp;"")=1,VLOOKUP($B142,Food!$B$2:$K$236,10,FALSE),"")</f>
        <v/>
      </c>
      <c r="E142" s="29" t="str">
        <f>IF(COUNT(VLOOKUP($B142,Housing!$B$2:$L$236,11,FALSE)&amp;"")=1,VLOOKUP($B142,Housing!$B$2:$L$236,11,FALSE),"")</f>
        <v/>
      </c>
      <c r="F142" s="29" t="str">
        <f>IF(COUNT(VLOOKUP($B142,Employment!$B$2:$M$236,12,FALSE)&amp;"")=1,VLOOKUP($B142,Employment!$B$2:$M$236,12,FALSE),"")</f>
        <v/>
      </c>
      <c r="G142" s="29" t="str">
        <f>IF(COUNT(VLOOKUP($B142,Education!$B$2:$L$236,11,FALSE)&amp;"")=1,VLOOKUP($B142,Education!$B$2:$L$236,11,FALSE),"")</f>
        <v/>
      </c>
      <c r="H142" s="29" t="str">
        <f>IF(COUNT(VLOOKUP($B142,Gender!$B$2:$K$236,10,FALSE)&amp;"")=1,VLOOKUP($B142,Gender!$B$2:$K$236,10,FALSE),"")</f>
        <v/>
      </c>
      <c r="I142" s="29" t="str">
        <f>IF(COUNT(VLOOKUP($B142,'Religious Freedom'!$B$2:$K$200,10,FALSE)&amp;"")=1,VLOOKUP($B142,'Religious Freedom'!$B$2:$K$200,10,FALSE),"")</f>
        <v/>
      </c>
    </row>
    <row r="143" ht="14.25" customHeight="1">
      <c r="A143" s="22" t="s">
        <v>277</v>
      </c>
      <c r="B143" s="22" t="s">
        <v>278</v>
      </c>
      <c r="C143" s="29" t="str">
        <f>IF(COUNT(VLOOKUP($B143,Water!$B$2:$L$235,11,FALSE)&amp;"")=1,(VLOOKUP($B143,Water!$B$2:$L$235,11,FALSE)),"")</f>
        <v/>
      </c>
      <c r="D143" s="29" t="str">
        <f>IF(COUNT(VLOOKUP($B143,Food!$B$2:$K$236,10,FALSE)&amp;"")=1,VLOOKUP($B143,Food!$B$2:$K$236,10,FALSE),"")</f>
        <v/>
      </c>
      <c r="E143" s="29" t="str">
        <f>IF(COUNT(VLOOKUP($B143,Housing!$B$2:$L$236,11,FALSE)&amp;"")=1,VLOOKUP($B143,Housing!$B$2:$L$236,11,FALSE),"")</f>
        <v/>
      </c>
      <c r="F143" s="29" t="str">
        <f>IF(COUNT(VLOOKUP($B143,Employment!$B$2:$M$236,12,FALSE)&amp;"")=1,VLOOKUP($B143,Employment!$B$2:$M$236,12,FALSE),"")</f>
        <v/>
      </c>
      <c r="G143" s="29" t="str">
        <f>IF(COUNT(VLOOKUP($B143,Education!$B$2:$L$236,11,FALSE)&amp;"")=1,VLOOKUP($B143,Education!$B$2:$L$236,11,FALSE),"")</f>
        <v/>
      </c>
      <c r="H143" s="29" t="str">
        <f>IF(COUNT(VLOOKUP($B143,Gender!$B$2:$K$236,10,FALSE)&amp;"")=1,VLOOKUP($B143,Gender!$B$2:$K$236,10,FALSE),"")</f>
        <v/>
      </c>
      <c r="I143" s="29" t="str">
        <f>IF(COUNT(VLOOKUP($B143,'Religious Freedom'!$B$2:$K$200,10,FALSE)&amp;"")=1,VLOOKUP($B143,'Religious Freedom'!$B$2:$K$200,10,FALSE),"")</f>
        <v/>
      </c>
    </row>
    <row r="144" ht="14.25" customHeight="1">
      <c r="A144" s="22" t="s">
        <v>279</v>
      </c>
      <c r="B144" s="22" t="s">
        <v>280</v>
      </c>
      <c r="C144" s="29" t="str">
        <f>IF(COUNT(VLOOKUP($B144,Water!$B$2:$L$235,11,FALSE)&amp;"")=1,(VLOOKUP($B144,Water!$B$2:$L$235,11,FALSE)),"")</f>
        <v/>
      </c>
      <c r="D144" s="29" t="str">
        <f>IF(COUNT(VLOOKUP($B144,Food!$B$2:$K$236,10,FALSE)&amp;"")=1,VLOOKUP($B144,Food!$B$2:$K$236,10,FALSE),"")</f>
        <v/>
      </c>
      <c r="E144" s="29" t="str">
        <f>IF(COUNT(VLOOKUP($B144,Housing!$B$2:$L$236,11,FALSE)&amp;"")=1,VLOOKUP($B144,Housing!$B$2:$L$236,11,FALSE),"")</f>
        <v/>
      </c>
      <c r="F144" s="29" t="str">
        <f>IF(COUNT(VLOOKUP($B144,Employment!$B$2:$M$236,12,FALSE)&amp;"")=1,VLOOKUP($B144,Employment!$B$2:$M$236,12,FALSE),"")</f>
        <v/>
      </c>
      <c r="G144" s="29" t="str">
        <f>IF(COUNT(VLOOKUP($B144,Education!$B$2:$L$236,11,FALSE)&amp;"")=1,VLOOKUP($B144,Education!$B$2:$L$236,11,FALSE),"")</f>
        <v/>
      </c>
      <c r="H144" s="29" t="str">
        <f>IF(COUNT(VLOOKUP($B144,Gender!$B$2:$K$236,10,FALSE)&amp;"")=1,VLOOKUP($B144,Gender!$B$2:$K$236,10,FALSE),"")</f>
        <v/>
      </c>
      <c r="I144" s="29" t="str">
        <f>IF(COUNT(VLOOKUP($B144,'Religious Freedom'!$B$2:$K$200,10,FALSE)&amp;"")=1,VLOOKUP($B144,'Religious Freedom'!$B$2:$K$200,10,FALSE),"")</f>
        <v/>
      </c>
    </row>
    <row r="145" ht="14.25" customHeight="1">
      <c r="A145" s="22" t="s">
        <v>281</v>
      </c>
      <c r="B145" s="22" t="s">
        <v>282</v>
      </c>
      <c r="C145" s="29" t="str">
        <f>IF(COUNT(VLOOKUP($B145,Water!$B$2:$L$235,11,FALSE)&amp;"")=1,(VLOOKUP($B145,Water!$B$2:$L$235,11,FALSE)),"")</f>
        <v/>
      </c>
      <c r="D145" s="29" t="str">
        <f>IF(COUNT(VLOOKUP($B145,Food!$B$2:$K$236,10,FALSE)&amp;"")=1,VLOOKUP($B145,Food!$B$2:$K$236,10,FALSE),"")</f>
        <v/>
      </c>
      <c r="E145" s="29" t="str">
        <f>IF(COUNT(VLOOKUP($B145,Housing!$B$2:$L$236,11,FALSE)&amp;"")=1,VLOOKUP($B145,Housing!$B$2:$L$236,11,FALSE),"")</f>
        <v/>
      </c>
      <c r="F145" s="29" t="str">
        <f>IF(COUNT(VLOOKUP($B145,Employment!$B$2:$M$236,12,FALSE)&amp;"")=1,VLOOKUP($B145,Employment!$B$2:$M$236,12,FALSE),"")</f>
        <v/>
      </c>
      <c r="G145" s="29" t="str">
        <f>IF(COUNT(VLOOKUP($B145,Education!$B$2:$L$236,11,FALSE)&amp;"")=1,VLOOKUP($B145,Education!$B$2:$L$236,11,FALSE),"")</f>
        <v/>
      </c>
      <c r="H145" s="29" t="str">
        <f>IF(COUNT(VLOOKUP($B145,Gender!$B$2:$K$236,10,FALSE)&amp;"")=1,VLOOKUP($B145,Gender!$B$2:$K$236,10,FALSE),"")</f>
        <v/>
      </c>
      <c r="I145" s="29" t="str">
        <f>IF(COUNT(VLOOKUP($B145,'Religious Freedom'!$B$2:$K$200,10,FALSE)&amp;"")=1,VLOOKUP($B145,'Religious Freedom'!$B$2:$K$200,10,FALSE),"")</f>
        <v/>
      </c>
    </row>
    <row r="146" ht="14.25" customHeight="1">
      <c r="A146" s="22" t="s">
        <v>283</v>
      </c>
      <c r="B146" s="22" t="s">
        <v>284</v>
      </c>
      <c r="C146" s="29" t="str">
        <f>IF(COUNT(VLOOKUP($B146,Water!$B$2:$L$235,11,FALSE)&amp;"")=1,(VLOOKUP($B146,Water!$B$2:$L$235,11,FALSE)),"")</f>
        <v/>
      </c>
      <c r="D146" s="29" t="str">
        <f>IF(COUNT(VLOOKUP($B146,Food!$B$2:$K$236,10,FALSE)&amp;"")=1,VLOOKUP($B146,Food!$B$2:$K$236,10,FALSE),"")</f>
        <v/>
      </c>
      <c r="E146" s="29" t="str">
        <f>IF(COUNT(VLOOKUP($B146,Housing!$B$2:$L$236,11,FALSE)&amp;"")=1,VLOOKUP($B146,Housing!$B$2:$L$236,11,FALSE),"")</f>
        <v/>
      </c>
      <c r="F146" s="29" t="str">
        <f>IF(COUNT(VLOOKUP($B146,Employment!$B$2:$M$236,12,FALSE)&amp;"")=1,VLOOKUP($B146,Employment!$B$2:$M$236,12,FALSE),"")</f>
        <v/>
      </c>
      <c r="G146" s="29" t="str">
        <f>IF(COUNT(VLOOKUP($B146,Education!$B$2:$L$236,11,FALSE)&amp;"")=1,VLOOKUP($B146,Education!$B$2:$L$236,11,FALSE),"")</f>
        <v/>
      </c>
      <c r="H146" s="29" t="str">
        <f>IF(COUNT(VLOOKUP($B146,Gender!$B$2:$K$236,10,FALSE)&amp;"")=1,VLOOKUP($B146,Gender!$B$2:$K$236,10,FALSE),"")</f>
        <v/>
      </c>
      <c r="I146" s="29" t="str">
        <f>IF(COUNT(VLOOKUP($B146,'Religious Freedom'!$B$2:$K$200,10,FALSE)&amp;"")=1,VLOOKUP($B146,'Religious Freedom'!$B$2:$K$200,10,FALSE),"")</f>
        <v/>
      </c>
    </row>
    <row r="147" ht="14.25" customHeight="1">
      <c r="A147" s="22" t="s">
        <v>285</v>
      </c>
      <c r="B147" s="22" t="s">
        <v>286</v>
      </c>
      <c r="C147" s="29" t="str">
        <f>IF(COUNT(VLOOKUP($B147,Water!$B$2:$L$235,11,FALSE)&amp;"")=1,(VLOOKUP($B147,Water!$B$2:$L$235,11,FALSE)),"")</f>
        <v/>
      </c>
      <c r="D147" s="29" t="str">
        <f>IF(COUNT(VLOOKUP($B147,Food!$B$2:$K$236,10,FALSE)&amp;"")=1,VLOOKUP($B147,Food!$B$2:$K$236,10,FALSE),"")</f>
        <v/>
      </c>
      <c r="E147" s="29" t="str">
        <f>IF(COUNT(VLOOKUP($B147,Housing!$B$2:$L$236,11,FALSE)&amp;"")=1,VLOOKUP($B147,Housing!$B$2:$L$236,11,FALSE),"")</f>
        <v/>
      </c>
      <c r="F147" s="29" t="str">
        <f>IF(COUNT(VLOOKUP($B147,Employment!$B$2:$M$236,12,FALSE)&amp;"")=1,VLOOKUP($B147,Employment!$B$2:$M$236,12,FALSE),"")</f>
        <v/>
      </c>
      <c r="G147" s="29" t="str">
        <f>IF(COUNT(VLOOKUP($B147,Education!$B$2:$L$236,11,FALSE)&amp;"")=1,VLOOKUP($B147,Education!$B$2:$L$236,11,FALSE),"")</f>
        <v/>
      </c>
      <c r="H147" s="29" t="str">
        <f>IF(COUNT(VLOOKUP($B147,Gender!$B$2:$K$236,10,FALSE)&amp;"")=1,VLOOKUP($B147,Gender!$B$2:$K$236,10,FALSE),"")</f>
        <v/>
      </c>
      <c r="I147" s="29" t="str">
        <f>IF(COUNT(VLOOKUP($B147,'Religious Freedom'!$B$2:$K$200,10,FALSE)&amp;"")=1,VLOOKUP($B147,'Religious Freedom'!$B$2:$K$200,10,FALSE),"")</f>
        <v/>
      </c>
    </row>
    <row r="148" ht="14.25" customHeight="1">
      <c r="A148" s="22" t="s">
        <v>287</v>
      </c>
      <c r="B148" s="22" t="s">
        <v>288</v>
      </c>
      <c r="C148" s="29" t="str">
        <f>IF(COUNT(VLOOKUP($B148,Water!$B$2:$L$235,11,FALSE)&amp;"")=1,(VLOOKUP($B148,Water!$B$2:$L$235,11,FALSE)),"")</f>
        <v/>
      </c>
      <c r="D148" s="29" t="str">
        <f>IF(COUNT(VLOOKUP($B148,Food!$B$2:$K$236,10,FALSE)&amp;"")=1,VLOOKUP($B148,Food!$B$2:$K$236,10,FALSE),"")</f>
        <v/>
      </c>
      <c r="E148" s="29" t="str">
        <f>IF(COUNT(VLOOKUP($B148,Housing!$B$2:$L$236,11,FALSE)&amp;"")=1,VLOOKUP($B148,Housing!$B$2:$L$236,11,FALSE),"")</f>
        <v/>
      </c>
      <c r="F148" s="29" t="str">
        <f>IF(COUNT(VLOOKUP($B148,Employment!$B$2:$M$236,12,FALSE)&amp;"")=1,VLOOKUP($B148,Employment!$B$2:$M$236,12,FALSE),"")</f>
        <v/>
      </c>
      <c r="G148" s="29" t="str">
        <f>IF(COUNT(VLOOKUP($B148,Education!$B$2:$L$236,11,FALSE)&amp;"")=1,VLOOKUP($B148,Education!$B$2:$L$236,11,FALSE),"")</f>
        <v/>
      </c>
      <c r="H148" s="29" t="str">
        <f>IF(COUNT(VLOOKUP($B148,Gender!$B$2:$K$236,10,FALSE)&amp;"")=1,VLOOKUP($B148,Gender!$B$2:$K$236,10,FALSE),"")</f>
        <v/>
      </c>
      <c r="I148" s="29" t="str">
        <f>IF(COUNT(VLOOKUP($B148,'Religious Freedom'!$B$2:$K$200,10,FALSE)&amp;"")=1,VLOOKUP($B148,'Religious Freedom'!$B$2:$K$200,10,FALSE),"")</f>
        <v/>
      </c>
    </row>
    <row r="149" ht="14.25" customHeight="1">
      <c r="A149" s="22" t="s">
        <v>289</v>
      </c>
      <c r="B149" s="22" t="s">
        <v>290</v>
      </c>
      <c r="C149" s="29" t="str">
        <f>IF(COUNT(VLOOKUP($B149,Water!$B$2:$L$235,11,FALSE)&amp;"")=1,(VLOOKUP($B149,Water!$B$2:$L$235,11,FALSE)),"")</f>
        <v/>
      </c>
      <c r="D149" s="29" t="str">
        <f>IF(COUNT(VLOOKUP($B149,Food!$B$2:$K$236,10,FALSE)&amp;"")=1,VLOOKUP($B149,Food!$B$2:$K$236,10,FALSE),"")</f>
        <v/>
      </c>
      <c r="E149" s="29" t="str">
        <f>IF(COUNT(VLOOKUP($B149,Housing!$B$2:$L$236,11,FALSE)&amp;"")=1,VLOOKUP($B149,Housing!$B$2:$L$236,11,FALSE),"")</f>
        <v/>
      </c>
      <c r="F149" s="29" t="str">
        <f>IF(COUNT(VLOOKUP($B149,Employment!$B$2:$M$236,12,FALSE)&amp;"")=1,VLOOKUP($B149,Employment!$B$2:$M$236,12,FALSE),"")</f>
        <v/>
      </c>
      <c r="G149" s="29" t="str">
        <f>IF(COUNT(VLOOKUP($B149,Education!$B$2:$L$236,11,FALSE)&amp;"")=1,VLOOKUP($B149,Education!$B$2:$L$236,11,FALSE),"")</f>
        <v/>
      </c>
      <c r="H149" s="29" t="str">
        <f>IF(COUNT(VLOOKUP($B149,Gender!$B$2:$K$236,10,FALSE)&amp;"")=1,VLOOKUP($B149,Gender!$B$2:$K$236,10,FALSE),"")</f>
        <v/>
      </c>
      <c r="I149" s="29" t="str">
        <f>IF(COUNT(VLOOKUP($B149,'Religious Freedom'!$B$2:$K$200,10,FALSE)&amp;"")=1,VLOOKUP($B149,'Religious Freedom'!$B$2:$K$200,10,FALSE),"")</f>
        <v/>
      </c>
    </row>
    <row r="150" ht="14.25" customHeight="1">
      <c r="A150" s="22" t="s">
        <v>291</v>
      </c>
      <c r="B150" s="22" t="s">
        <v>292</v>
      </c>
      <c r="C150" s="29" t="str">
        <f>IF(COUNT(VLOOKUP($B150,Water!$B$2:$L$235,11,FALSE)&amp;"")=1,(VLOOKUP($B150,Water!$B$2:$L$235,11,FALSE)),"")</f>
        <v/>
      </c>
      <c r="D150" s="29" t="str">
        <f>IF(COUNT(VLOOKUP($B150,Food!$B$2:$K$236,10,FALSE)&amp;"")=1,VLOOKUP($B150,Food!$B$2:$K$236,10,FALSE),"")</f>
        <v/>
      </c>
      <c r="E150" s="29" t="str">
        <f>IF(COUNT(VLOOKUP($B150,Housing!$B$2:$L$236,11,FALSE)&amp;"")=1,VLOOKUP($B150,Housing!$B$2:$L$236,11,FALSE),"")</f>
        <v/>
      </c>
      <c r="F150" s="29" t="str">
        <f>IF(COUNT(VLOOKUP($B150,Employment!$B$2:$M$236,12,FALSE)&amp;"")=1,VLOOKUP($B150,Employment!$B$2:$M$236,12,FALSE),"")</f>
        <v/>
      </c>
      <c r="G150" s="29" t="str">
        <f>IF(COUNT(VLOOKUP($B150,Education!$B$2:$L$236,11,FALSE)&amp;"")=1,VLOOKUP($B150,Education!$B$2:$L$236,11,FALSE),"")</f>
        <v/>
      </c>
      <c r="H150" s="29" t="str">
        <f>IF(COUNT(VLOOKUP($B150,Gender!$B$2:$K$236,10,FALSE)&amp;"")=1,VLOOKUP($B150,Gender!$B$2:$K$236,10,FALSE),"")</f>
        <v/>
      </c>
      <c r="I150" s="29" t="str">
        <f>IF(COUNT(VLOOKUP($B150,'Religious Freedom'!$B$2:$K$200,10,FALSE)&amp;"")=1,VLOOKUP($B150,'Religious Freedom'!$B$2:$K$200,10,FALSE),"")</f>
        <v/>
      </c>
    </row>
    <row r="151" ht="14.25" customHeight="1">
      <c r="A151" s="22" t="s">
        <v>293</v>
      </c>
      <c r="B151" s="22" t="s">
        <v>294</v>
      </c>
      <c r="C151" s="29" t="str">
        <f>IF(COUNT(VLOOKUP($B151,Water!$B$2:$L$235,11,FALSE)&amp;"")=1,(VLOOKUP($B151,Water!$B$2:$L$235,11,FALSE)),"")</f>
        <v/>
      </c>
      <c r="D151" s="29" t="str">
        <f>IF(COUNT(VLOOKUP($B151,Food!$B$2:$K$236,10,FALSE)&amp;"")=1,VLOOKUP($B151,Food!$B$2:$K$236,10,FALSE),"")</f>
        <v/>
      </c>
      <c r="E151" s="29" t="str">
        <f>IF(COUNT(VLOOKUP($B151,Housing!$B$2:$L$236,11,FALSE)&amp;"")=1,VLOOKUP($B151,Housing!$B$2:$L$236,11,FALSE),"")</f>
        <v/>
      </c>
      <c r="F151" s="29" t="str">
        <f>IF(COUNT(VLOOKUP($B151,Employment!$B$2:$M$236,12,FALSE)&amp;"")=1,VLOOKUP($B151,Employment!$B$2:$M$236,12,FALSE),"")</f>
        <v/>
      </c>
      <c r="G151" s="29" t="str">
        <f>IF(COUNT(VLOOKUP($B151,Education!$B$2:$L$236,11,FALSE)&amp;"")=1,VLOOKUP($B151,Education!$B$2:$L$236,11,FALSE),"")</f>
        <v/>
      </c>
      <c r="H151" s="29" t="str">
        <f>IF(COUNT(VLOOKUP($B151,Gender!$B$2:$K$236,10,FALSE)&amp;"")=1,VLOOKUP($B151,Gender!$B$2:$K$236,10,FALSE),"")</f>
        <v/>
      </c>
      <c r="I151" s="29" t="str">
        <f>IF(COUNT(VLOOKUP($B151,'Religious Freedom'!$B$2:$K$200,10,FALSE)&amp;"")=1,VLOOKUP($B151,'Religious Freedom'!$B$2:$K$200,10,FALSE),"")</f>
        <v/>
      </c>
    </row>
    <row r="152" ht="14.25" customHeight="1">
      <c r="A152" s="22" t="s">
        <v>295</v>
      </c>
      <c r="B152" s="22" t="s">
        <v>296</v>
      </c>
      <c r="C152" s="29" t="str">
        <f>IF(COUNT(VLOOKUP($B152,Water!$B$2:$L$235,11,FALSE)&amp;"")=1,(VLOOKUP($B152,Water!$B$2:$L$235,11,FALSE)),"")</f>
        <v/>
      </c>
      <c r="D152" s="29" t="str">
        <f>IF(COUNT(VLOOKUP($B152,Food!$B$2:$K$236,10,FALSE)&amp;"")=1,VLOOKUP($B152,Food!$B$2:$K$236,10,FALSE),"")</f>
        <v/>
      </c>
      <c r="E152" s="29" t="str">
        <f>IF(COUNT(VLOOKUP($B152,Housing!$B$2:$L$236,11,FALSE)&amp;"")=1,VLOOKUP($B152,Housing!$B$2:$L$236,11,FALSE),"")</f>
        <v/>
      </c>
      <c r="F152" s="29" t="str">
        <f>IF(COUNT(VLOOKUP($B152,Employment!$B$2:$M$236,12,FALSE)&amp;"")=1,VLOOKUP($B152,Employment!$B$2:$M$236,12,FALSE),"")</f>
        <v/>
      </c>
      <c r="G152" s="29" t="str">
        <f>IF(COUNT(VLOOKUP($B152,Education!$B$2:$L$236,11,FALSE)&amp;"")=1,VLOOKUP($B152,Education!$B$2:$L$236,11,FALSE),"")</f>
        <v/>
      </c>
      <c r="H152" s="29" t="str">
        <f>IF(COUNT(VLOOKUP($B152,Gender!$B$2:$K$236,10,FALSE)&amp;"")=1,VLOOKUP($B152,Gender!$B$2:$K$236,10,FALSE),"")</f>
        <v/>
      </c>
      <c r="I152" s="29" t="str">
        <f>IF(COUNT(VLOOKUP($B152,'Religious Freedom'!$B$2:$K$200,10,FALSE)&amp;"")=1,VLOOKUP($B152,'Religious Freedom'!$B$2:$K$200,10,FALSE),"")</f>
        <v/>
      </c>
    </row>
    <row r="153" ht="14.25" customHeight="1">
      <c r="A153" s="22" t="s">
        <v>297</v>
      </c>
      <c r="B153" s="22" t="s">
        <v>298</v>
      </c>
      <c r="C153" s="29" t="str">
        <f>IF(COUNT(VLOOKUP($B153,Water!$B$2:$L$235,11,FALSE)&amp;"")=1,(VLOOKUP($B153,Water!$B$2:$L$235,11,FALSE)),"")</f>
        <v/>
      </c>
      <c r="D153" s="29" t="str">
        <f>IF(COUNT(VLOOKUP($B153,Food!$B$2:$K$236,10,FALSE)&amp;"")=1,VLOOKUP($B153,Food!$B$2:$K$236,10,FALSE),"")</f>
        <v/>
      </c>
      <c r="E153" s="29" t="str">
        <f>IF(COUNT(VLOOKUP($B153,Housing!$B$2:$L$236,11,FALSE)&amp;"")=1,VLOOKUP($B153,Housing!$B$2:$L$236,11,FALSE),"")</f>
        <v/>
      </c>
      <c r="F153" s="29" t="str">
        <f>IF(COUNT(VLOOKUP($B153,Employment!$B$2:$M$236,12,FALSE)&amp;"")=1,VLOOKUP($B153,Employment!$B$2:$M$236,12,FALSE),"")</f>
        <v/>
      </c>
      <c r="G153" s="29" t="str">
        <f>IF(COUNT(VLOOKUP($B153,Education!$B$2:$L$236,11,FALSE)&amp;"")=1,VLOOKUP($B153,Education!$B$2:$L$236,11,FALSE),"")</f>
        <v/>
      </c>
      <c r="H153" s="29" t="str">
        <f>IF(COUNT(VLOOKUP($B153,Gender!$B$2:$K$236,10,FALSE)&amp;"")=1,VLOOKUP($B153,Gender!$B$2:$K$236,10,FALSE),"")</f>
        <v/>
      </c>
      <c r="I153" s="29" t="str">
        <f>IF(COUNT(VLOOKUP($B153,'Religious Freedom'!$B$2:$K$200,10,FALSE)&amp;"")=1,VLOOKUP($B153,'Religious Freedom'!$B$2:$K$200,10,FALSE),"")</f>
        <v/>
      </c>
    </row>
    <row r="154" ht="14.25" customHeight="1">
      <c r="A154" s="22" t="s">
        <v>299</v>
      </c>
      <c r="B154" s="22" t="s">
        <v>300</v>
      </c>
      <c r="C154" s="29" t="str">
        <f>IF(COUNT(VLOOKUP($B154,Water!$B$2:$L$235,11,FALSE)&amp;"")=1,(VLOOKUP($B154,Water!$B$2:$L$235,11,FALSE)),"")</f>
        <v/>
      </c>
      <c r="D154" s="29" t="str">
        <f>IF(COUNT(VLOOKUP($B154,Food!$B$2:$K$236,10,FALSE)&amp;"")=1,VLOOKUP($B154,Food!$B$2:$K$236,10,FALSE),"")</f>
        <v/>
      </c>
      <c r="E154" s="29" t="str">
        <f>IF(COUNT(VLOOKUP($B154,Housing!$B$2:$L$236,11,FALSE)&amp;"")=1,VLOOKUP($B154,Housing!$B$2:$L$236,11,FALSE),"")</f>
        <v/>
      </c>
      <c r="F154" s="29" t="str">
        <f>IF(COUNT(VLOOKUP($B154,Employment!$B$2:$M$236,12,FALSE)&amp;"")=1,VLOOKUP($B154,Employment!$B$2:$M$236,12,FALSE),"")</f>
        <v/>
      </c>
      <c r="G154" s="29" t="str">
        <f>IF(COUNT(VLOOKUP($B154,Education!$B$2:$L$236,11,FALSE)&amp;"")=1,VLOOKUP($B154,Education!$B$2:$L$236,11,FALSE),"")</f>
        <v/>
      </c>
      <c r="H154" s="29" t="str">
        <f>IF(COUNT(VLOOKUP($B154,Gender!$B$2:$K$236,10,FALSE)&amp;"")=1,VLOOKUP($B154,Gender!$B$2:$K$236,10,FALSE),"")</f>
        <v/>
      </c>
      <c r="I154" s="29" t="str">
        <f>IF(COUNT(VLOOKUP($B154,'Religious Freedom'!$B$2:$K$200,10,FALSE)&amp;"")=1,VLOOKUP($B154,'Religious Freedom'!$B$2:$K$200,10,FALSE),"")</f>
        <v/>
      </c>
    </row>
    <row r="155" ht="14.25" customHeight="1">
      <c r="A155" s="22" t="s">
        <v>301</v>
      </c>
      <c r="B155" s="22" t="s">
        <v>302</v>
      </c>
      <c r="C155" s="29" t="str">
        <f>IF(COUNT(VLOOKUP($B155,Water!$B$2:$L$235,11,FALSE)&amp;"")=1,(VLOOKUP($B155,Water!$B$2:$L$235,11,FALSE)),"")</f>
        <v/>
      </c>
      <c r="D155" s="29" t="str">
        <f>IF(COUNT(VLOOKUP($B155,Food!$B$2:$K$236,10,FALSE)&amp;"")=1,VLOOKUP($B155,Food!$B$2:$K$236,10,FALSE),"")</f>
        <v/>
      </c>
      <c r="E155" s="29" t="str">
        <f>IF(COUNT(VLOOKUP($B155,Housing!$B$2:$L$236,11,FALSE)&amp;"")=1,VLOOKUP($B155,Housing!$B$2:$L$236,11,FALSE),"")</f>
        <v/>
      </c>
      <c r="F155" s="29" t="str">
        <f>IF(COUNT(VLOOKUP($B155,Employment!$B$2:$M$236,12,FALSE)&amp;"")=1,VLOOKUP($B155,Employment!$B$2:$M$236,12,FALSE),"")</f>
        <v/>
      </c>
      <c r="G155" s="29" t="str">
        <f>IF(COUNT(VLOOKUP($B155,Education!$B$2:$L$236,11,FALSE)&amp;"")=1,VLOOKUP($B155,Education!$B$2:$L$236,11,FALSE),"")</f>
        <v/>
      </c>
      <c r="H155" s="29" t="str">
        <f>IF(COUNT(VLOOKUP($B155,Gender!$B$2:$K$236,10,FALSE)&amp;"")=1,VLOOKUP($B155,Gender!$B$2:$K$236,10,FALSE),"")</f>
        <v/>
      </c>
      <c r="I155" s="29" t="str">
        <f>IF(COUNT(VLOOKUP($B155,'Religious Freedom'!$B$2:$K$200,10,FALSE)&amp;"")=1,VLOOKUP($B155,'Religious Freedom'!$B$2:$K$200,10,FALSE),"")</f>
        <v/>
      </c>
    </row>
    <row r="156" ht="14.25" customHeight="1">
      <c r="A156" s="22" t="s">
        <v>303</v>
      </c>
      <c r="B156" s="22" t="s">
        <v>304</v>
      </c>
      <c r="C156" s="29" t="str">
        <f>IF(COUNT(VLOOKUP($B156,Water!$B$2:$L$235,11,FALSE)&amp;"")=1,(VLOOKUP($B156,Water!$B$2:$L$235,11,FALSE)),"")</f>
        <v/>
      </c>
      <c r="D156" s="29" t="str">
        <f>IF(COUNT(VLOOKUP($B156,Food!$B$2:$K$236,10,FALSE)&amp;"")=1,VLOOKUP($B156,Food!$B$2:$K$236,10,FALSE),"")</f>
        <v/>
      </c>
      <c r="E156" s="29" t="str">
        <f>IF(COUNT(VLOOKUP($B156,Housing!$B$2:$L$236,11,FALSE)&amp;"")=1,VLOOKUP($B156,Housing!$B$2:$L$236,11,FALSE),"")</f>
        <v/>
      </c>
      <c r="F156" s="29" t="str">
        <f>IF(COUNT(VLOOKUP($B156,Employment!$B$2:$M$236,12,FALSE)&amp;"")=1,VLOOKUP($B156,Employment!$B$2:$M$236,12,FALSE),"")</f>
        <v/>
      </c>
      <c r="G156" s="29" t="str">
        <f>IF(COUNT(VLOOKUP($B156,Education!$B$2:$L$236,11,FALSE)&amp;"")=1,VLOOKUP($B156,Education!$B$2:$L$236,11,FALSE),"")</f>
        <v/>
      </c>
      <c r="H156" s="29" t="str">
        <f>IF(COUNT(VLOOKUP($B156,Gender!$B$2:$K$236,10,FALSE)&amp;"")=1,VLOOKUP($B156,Gender!$B$2:$K$236,10,FALSE),"")</f>
        <v/>
      </c>
      <c r="I156" s="29" t="str">
        <f>IF(COUNT(VLOOKUP($B156,'Religious Freedom'!$B$2:$K$200,10,FALSE)&amp;"")=1,VLOOKUP($B156,'Religious Freedom'!$B$2:$K$200,10,FALSE),"")</f>
        <v/>
      </c>
    </row>
    <row r="157" ht="14.25" customHeight="1">
      <c r="A157" s="22" t="s">
        <v>305</v>
      </c>
      <c r="B157" s="22" t="s">
        <v>306</v>
      </c>
      <c r="C157" s="29" t="str">
        <f>IF(COUNT(VLOOKUP($B157,Water!$B$2:$L$235,11,FALSE)&amp;"")=1,(VLOOKUP($B157,Water!$B$2:$L$235,11,FALSE)),"")</f>
        <v/>
      </c>
      <c r="D157" s="29" t="str">
        <f>IF(COUNT(VLOOKUP($B157,Food!$B$2:$K$236,10,FALSE)&amp;"")=1,VLOOKUP($B157,Food!$B$2:$K$236,10,FALSE),"")</f>
        <v/>
      </c>
      <c r="E157" s="29" t="str">
        <f>IF(COUNT(VLOOKUP($B157,Housing!$B$2:$L$236,11,FALSE)&amp;"")=1,VLOOKUP($B157,Housing!$B$2:$L$236,11,FALSE),"")</f>
        <v/>
      </c>
      <c r="F157" s="29" t="str">
        <f>IF(COUNT(VLOOKUP($B157,Employment!$B$2:$M$236,12,FALSE)&amp;"")=1,VLOOKUP($B157,Employment!$B$2:$M$236,12,FALSE),"")</f>
        <v/>
      </c>
      <c r="G157" s="29" t="str">
        <f>IF(COUNT(VLOOKUP($B157,Education!$B$2:$L$236,11,FALSE)&amp;"")=1,VLOOKUP($B157,Education!$B$2:$L$236,11,FALSE),"")</f>
        <v/>
      </c>
      <c r="H157" s="29" t="str">
        <f>IF(COUNT(VLOOKUP($B157,Gender!$B$2:$K$236,10,FALSE)&amp;"")=1,VLOOKUP($B157,Gender!$B$2:$K$236,10,FALSE),"")</f>
        <v/>
      </c>
      <c r="I157" s="29" t="str">
        <f>IF(COUNT(VLOOKUP($B157,'Religious Freedom'!$B$2:$K$200,10,FALSE)&amp;"")=1,VLOOKUP($B157,'Religious Freedom'!$B$2:$K$200,10,FALSE),"")</f>
        <v/>
      </c>
    </row>
    <row r="158" ht="14.25" customHeight="1">
      <c r="A158" s="22" t="s">
        <v>307</v>
      </c>
      <c r="B158" s="22" t="s">
        <v>308</v>
      </c>
      <c r="C158" s="29" t="str">
        <f>IF(COUNT(VLOOKUP($B158,Water!$B$2:$L$235,11,FALSE)&amp;"")=1,(VLOOKUP($B158,Water!$B$2:$L$235,11,FALSE)),"")</f>
        <v/>
      </c>
      <c r="D158" s="29" t="str">
        <f>IF(COUNT(VLOOKUP($B158,Food!$B$2:$K$236,10,FALSE)&amp;"")=1,VLOOKUP($B158,Food!$B$2:$K$236,10,FALSE),"")</f>
        <v/>
      </c>
      <c r="E158" s="29" t="str">
        <f>IF(COUNT(VLOOKUP($B158,Housing!$B$2:$L$236,11,FALSE)&amp;"")=1,VLOOKUP($B158,Housing!$B$2:$L$236,11,FALSE),"")</f>
        <v/>
      </c>
      <c r="F158" s="29" t="str">
        <f>IF(COUNT(VLOOKUP($B158,Employment!$B$2:$M$236,12,FALSE)&amp;"")=1,VLOOKUP($B158,Employment!$B$2:$M$236,12,FALSE),"")</f>
        <v/>
      </c>
      <c r="G158" s="29" t="str">
        <f>IF(COUNT(VLOOKUP($B158,Education!$B$2:$L$236,11,FALSE)&amp;"")=1,VLOOKUP($B158,Education!$B$2:$L$236,11,FALSE),"")</f>
        <v/>
      </c>
      <c r="H158" s="29" t="str">
        <f>IF(COUNT(VLOOKUP($B158,Gender!$B$2:$K$236,10,FALSE)&amp;"")=1,VLOOKUP($B158,Gender!$B$2:$K$236,10,FALSE),"")</f>
        <v/>
      </c>
      <c r="I158" s="29" t="str">
        <f>IF(COUNT(VLOOKUP($B158,'Religious Freedom'!$B$2:$K$200,10,FALSE)&amp;"")=1,VLOOKUP($B158,'Religious Freedom'!$B$2:$K$200,10,FALSE),"")</f>
        <v/>
      </c>
    </row>
    <row r="159" ht="14.25" customHeight="1">
      <c r="A159" s="22" t="s">
        <v>309</v>
      </c>
      <c r="B159" s="22" t="s">
        <v>310</v>
      </c>
      <c r="C159" s="29" t="str">
        <f>IF(COUNT(VLOOKUP($B159,Water!$B$2:$L$235,11,FALSE)&amp;"")=1,(VLOOKUP($B159,Water!$B$2:$L$235,11,FALSE)),"")</f>
        <v/>
      </c>
      <c r="D159" s="29" t="str">
        <f>IF(COUNT(VLOOKUP($B159,Food!$B$2:$K$236,10,FALSE)&amp;"")=1,VLOOKUP($B159,Food!$B$2:$K$236,10,FALSE),"")</f>
        <v/>
      </c>
      <c r="E159" s="29" t="str">
        <f>IF(COUNT(VLOOKUP($B159,Housing!$B$2:$L$236,11,FALSE)&amp;"")=1,VLOOKUP($B159,Housing!$B$2:$L$236,11,FALSE),"")</f>
        <v/>
      </c>
      <c r="F159" s="29" t="str">
        <f>IF(COUNT(VLOOKUP($B159,Employment!$B$2:$M$236,12,FALSE)&amp;"")=1,VLOOKUP($B159,Employment!$B$2:$M$236,12,FALSE),"")</f>
        <v/>
      </c>
      <c r="G159" s="29" t="str">
        <f>IF(COUNT(VLOOKUP($B159,Education!$B$2:$L$236,11,FALSE)&amp;"")=1,VLOOKUP($B159,Education!$B$2:$L$236,11,FALSE),"")</f>
        <v/>
      </c>
      <c r="H159" s="29" t="str">
        <f>IF(COUNT(VLOOKUP($B159,Gender!$B$2:$K$236,10,FALSE)&amp;"")=1,VLOOKUP($B159,Gender!$B$2:$K$236,10,FALSE),"")</f>
        <v/>
      </c>
      <c r="I159" s="29" t="str">
        <f>IF(COUNT(VLOOKUP($B159,'Religious Freedom'!$B$2:$K$200,10,FALSE)&amp;"")=1,VLOOKUP($B159,'Religious Freedom'!$B$2:$K$200,10,FALSE),"")</f>
        <v/>
      </c>
    </row>
    <row r="160" ht="14.25" customHeight="1">
      <c r="A160" s="22" t="s">
        <v>311</v>
      </c>
      <c r="B160" s="22" t="s">
        <v>312</v>
      </c>
      <c r="C160" s="29" t="str">
        <f>IF(COUNT(VLOOKUP($B160,Water!$B$2:$L$235,11,FALSE)&amp;"")=1,(VLOOKUP($B160,Water!$B$2:$L$235,11,FALSE)),"")</f>
        <v/>
      </c>
      <c r="D160" s="29" t="str">
        <f>IF(COUNT(VLOOKUP($B160,Food!$B$2:$K$236,10,FALSE)&amp;"")=1,VLOOKUP($B160,Food!$B$2:$K$236,10,FALSE),"")</f>
        <v/>
      </c>
      <c r="E160" s="29" t="str">
        <f>IF(COUNT(VLOOKUP($B160,Housing!$B$2:$L$236,11,FALSE)&amp;"")=1,VLOOKUP($B160,Housing!$B$2:$L$236,11,FALSE),"")</f>
        <v/>
      </c>
      <c r="F160" s="29" t="str">
        <f>IF(COUNT(VLOOKUP($B160,Employment!$B$2:$M$236,12,FALSE)&amp;"")=1,VLOOKUP($B160,Employment!$B$2:$M$236,12,FALSE),"")</f>
        <v/>
      </c>
      <c r="G160" s="29" t="str">
        <f>IF(COUNT(VLOOKUP($B160,Education!$B$2:$L$236,11,FALSE)&amp;"")=1,VLOOKUP($B160,Education!$B$2:$L$236,11,FALSE),"")</f>
        <v/>
      </c>
      <c r="H160" s="29" t="str">
        <f>IF(COUNT(VLOOKUP($B160,Gender!$B$2:$K$236,10,FALSE)&amp;"")=1,VLOOKUP($B160,Gender!$B$2:$K$236,10,FALSE),"")</f>
        <v/>
      </c>
      <c r="I160" s="29" t="str">
        <f>IF(COUNT(VLOOKUP($B160,'Religious Freedom'!$B$2:$K$200,10,FALSE)&amp;"")=1,VLOOKUP($B160,'Religious Freedom'!$B$2:$K$200,10,FALSE),"")</f>
        <v/>
      </c>
    </row>
    <row r="161" ht="14.25" customHeight="1">
      <c r="A161" s="22" t="s">
        <v>313</v>
      </c>
      <c r="B161" s="22" t="s">
        <v>314</v>
      </c>
      <c r="C161" s="29" t="str">
        <f>IF(COUNT(VLOOKUP($B161,Water!$B$2:$L$235,11,FALSE)&amp;"")=1,(VLOOKUP($B161,Water!$B$2:$L$235,11,FALSE)),"")</f>
        <v/>
      </c>
      <c r="D161" s="29" t="str">
        <f>IF(COUNT(VLOOKUP($B161,Food!$B$2:$K$236,10,FALSE)&amp;"")=1,VLOOKUP($B161,Food!$B$2:$K$236,10,FALSE),"")</f>
        <v/>
      </c>
      <c r="E161" s="29" t="str">
        <f>IF(COUNT(VLOOKUP($B161,Housing!$B$2:$L$236,11,FALSE)&amp;"")=1,VLOOKUP($B161,Housing!$B$2:$L$236,11,FALSE),"")</f>
        <v/>
      </c>
      <c r="F161" s="29" t="str">
        <f>IF(COUNT(VLOOKUP($B161,Employment!$B$2:$M$236,12,FALSE)&amp;"")=1,VLOOKUP($B161,Employment!$B$2:$M$236,12,FALSE),"")</f>
        <v/>
      </c>
      <c r="G161" s="29" t="str">
        <f>IF(COUNT(VLOOKUP($B161,Education!$B$2:$L$236,11,FALSE)&amp;"")=1,VLOOKUP($B161,Education!$B$2:$L$236,11,FALSE),"")</f>
        <v/>
      </c>
      <c r="H161" s="29" t="str">
        <f>IF(COUNT(VLOOKUP($B161,Gender!$B$2:$K$236,10,FALSE)&amp;"")=1,VLOOKUP($B161,Gender!$B$2:$K$236,10,FALSE),"")</f>
        <v/>
      </c>
      <c r="I161" s="29" t="str">
        <f>IF(COUNT(VLOOKUP($B161,'Religious Freedom'!$B$2:$K$200,10,FALSE)&amp;"")=1,VLOOKUP($B161,'Religious Freedom'!$B$2:$K$200,10,FALSE),"")</f>
        <v/>
      </c>
    </row>
    <row r="162" ht="14.25" customHeight="1">
      <c r="A162" s="22" t="s">
        <v>315</v>
      </c>
      <c r="B162" s="22" t="s">
        <v>316</v>
      </c>
      <c r="C162" s="29" t="str">
        <f>IF(COUNT(VLOOKUP($B162,Water!$B$2:$L$235,11,FALSE)&amp;"")=1,(VLOOKUP($B162,Water!$B$2:$L$235,11,FALSE)),"")</f>
        <v/>
      </c>
      <c r="D162" s="29" t="str">
        <f>IF(COUNT(VLOOKUP($B162,Food!$B$2:$K$236,10,FALSE)&amp;"")=1,VLOOKUP($B162,Food!$B$2:$K$236,10,FALSE),"")</f>
        <v/>
      </c>
      <c r="E162" s="29" t="str">
        <f>IF(COUNT(VLOOKUP($B162,Housing!$B$2:$L$236,11,FALSE)&amp;"")=1,VLOOKUP($B162,Housing!$B$2:$L$236,11,FALSE),"")</f>
        <v/>
      </c>
      <c r="F162" s="29" t="str">
        <f>IF(COUNT(VLOOKUP($B162,Employment!$B$2:$M$236,12,FALSE)&amp;"")=1,VLOOKUP($B162,Employment!$B$2:$M$236,12,FALSE),"")</f>
        <v/>
      </c>
      <c r="G162" s="29" t="str">
        <f>IF(COUNT(VLOOKUP($B162,Education!$B$2:$L$236,11,FALSE)&amp;"")=1,VLOOKUP($B162,Education!$B$2:$L$236,11,FALSE),"")</f>
        <v/>
      </c>
      <c r="H162" s="29" t="str">
        <f>IF(COUNT(VLOOKUP($B162,Gender!$B$2:$K$236,10,FALSE)&amp;"")=1,VLOOKUP($B162,Gender!$B$2:$K$236,10,FALSE),"")</f>
        <v/>
      </c>
      <c r="I162" s="29" t="str">
        <f>IF(COUNT(VLOOKUP($B162,'Religious Freedom'!$B$2:$K$200,10,FALSE)&amp;"")=1,VLOOKUP($B162,'Religious Freedom'!$B$2:$K$200,10,FALSE),"")</f>
        <v/>
      </c>
    </row>
    <row r="163" ht="14.25" customHeight="1">
      <c r="A163" s="22" t="s">
        <v>317</v>
      </c>
      <c r="B163" s="22" t="s">
        <v>318</v>
      </c>
      <c r="C163" s="29" t="str">
        <f>IF(COUNT(VLOOKUP($B163,Water!$B$2:$L$235,11,FALSE)&amp;"")=1,(VLOOKUP($B163,Water!$B$2:$L$235,11,FALSE)),"")</f>
        <v/>
      </c>
      <c r="D163" s="29" t="str">
        <f>IF(COUNT(VLOOKUP($B163,Food!$B$2:$K$236,10,FALSE)&amp;"")=1,VLOOKUP($B163,Food!$B$2:$K$236,10,FALSE),"")</f>
        <v/>
      </c>
      <c r="E163" s="29" t="str">
        <f>IF(COUNT(VLOOKUP($B163,Housing!$B$2:$L$236,11,FALSE)&amp;"")=1,VLOOKUP($B163,Housing!$B$2:$L$236,11,FALSE),"")</f>
        <v/>
      </c>
      <c r="F163" s="29" t="str">
        <f>IF(COUNT(VLOOKUP($B163,Employment!$B$2:$M$236,12,FALSE)&amp;"")=1,VLOOKUP($B163,Employment!$B$2:$M$236,12,FALSE),"")</f>
        <v/>
      </c>
      <c r="G163" s="29" t="str">
        <f>IF(COUNT(VLOOKUP($B163,Education!$B$2:$L$236,11,FALSE)&amp;"")=1,VLOOKUP($B163,Education!$B$2:$L$236,11,FALSE),"")</f>
        <v/>
      </c>
      <c r="H163" s="29" t="str">
        <f>IF(COUNT(VLOOKUP($B163,Gender!$B$2:$K$236,10,FALSE)&amp;"")=1,VLOOKUP($B163,Gender!$B$2:$K$236,10,FALSE),"")</f>
        <v/>
      </c>
      <c r="I163" s="29" t="str">
        <f>IF(COUNT(VLOOKUP($B163,'Religious Freedom'!$B$2:$K$200,10,FALSE)&amp;"")=1,VLOOKUP($B163,'Religious Freedom'!$B$2:$K$200,10,FALSE),"")</f>
        <v/>
      </c>
    </row>
    <row r="164" ht="14.25" customHeight="1">
      <c r="A164" s="22" t="s">
        <v>319</v>
      </c>
      <c r="B164" s="22" t="s">
        <v>320</v>
      </c>
      <c r="C164" s="29" t="str">
        <f>IF(COUNT(VLOOKUP($B164,Water!$B$2:$L$235,11,FALSE)&amp;"")=1,(VLOOKUP($B164,Water!$B$2:$L$235,11,FALSE)),"")</f>
        <v/>
      </c>
      <c r="D164" s="29" t="str">
        <f>IF(COUNT(VLOOKUP($B164,Food!$B$2:$K$236,10,FALSE)&amp;"")=1,VLOOKUP($B164,Food!$B$2:$K$236,10,FALSE),"")</f>
        <v/>
      </c>
      <c r="E164" s="29" t="str">
        <f>IF(COUNT(VLOOKUP($B164,Housing!$B$2:$L$236,11,FALSE)&amp;"")=1,VLOOKUP($B164,Housing!$B$2:$L$236,11,FALSE),"")</f>
        <v/>
      </c>
      <c r="F164" s="29" t="str">
        <f>IF(COUNT(VLOOKUP($B164,Employment!$B$2:$M$236,12,FALSE)&amp;"")=1,VLOOKUP($B164,Employment!$B$2:$M$236,12,FALSE),"")</f>
        <v/>
      </c>
      <c r="G164" s="29" t="str">
        <f>IF(COUNT(VLOOKUP($B164,Education!$B$2:$L$236,11,FALSE)&amp;"")=1,VLOOKUP($B164,Education!$B$2:$L$236,11,FALSE),"")</f>
        <v/>
      </c>
      <c r="H164" s="29" t="str">
        <f>IF(COUNT(VLOOKUP($B164,Gender!$B$2:$K$236,10,FALSE)&amp;"")=1,VLOOKUP($B164,Gender!$B$2:$K$236,10,FALSE),"")</f>
        <v/>
      </c>
      <c r="I164" s="29" t="str">
        <f>IF(COUNT(VLOOKUP($B164,'Religious Freedom'!$B$2:$K$200,10,FALSE)&amp;"")=1,VLOOKUP($B164,'Religious Freedom'!$B$2:$K$200,10,FALSE),"")</f>
        <v/>
      </c>
    </row>
    <row r="165" ht="14.25" customHeight="1">
      <c r="A165" s="22" t="s">
        <v>321</v>
      </c>
      <c r="B165" s="22" t="s">
        <v>322</v>
      </c>
      <c r="C165" s="29" t="str">
        <f>IF(COUNT(VLOOKUP($B165,Water!$B$2:$L$235,11,FALSE)&amp;"")=1,(VLOOKUP($B165,Water!$B$2:$L$235,11,FALSE)),"")</f>
        <v/>
      </c>
      <c r="D165" s="29" t="str">
        <f>IF(COUNT(VLOOKUP($B165,Food!$B$2:$K$236,10,FALSE)&amp;"")=1,VLOOKUP($B165,Food!$B$2:$K$236,10,FALSE),"")</f>
        <v/>
      </c>
      <c r="E165" s="29" t="str">
        <f>IF(COUNT(VLOOKUP($B165,Housing!$B$2:$L$236,11,FALSE)&amp;"")=1,VLOOKUP($B165,Housing!$B$2:$L$236,11,FALSE),"")</f>
        <v/>
      </c>
      <c r="F165" s="29" t="str">
        <f>IF(COUNT(VLOOKUP($B165,Employment!$B$2:$M$236,12,FALSE)&amp;"")=1,VLOOKUP($B165,Employment!$B$2:$M$236,12,FALSE),"")</f>
        <v/>
      </c>
      <c r="G165" s="29" t="str">
        <f>IF(COUNT(VLOOKUP($B165,Education!$B$2:$L$236,11,FALSE)&amp;"")=1,VLOOKUP($B165,Education!$B$2:$L$236,11,FALSE),"")</f>
        <v/>
      </c>
      <c r="H165" s="29" t="str">
        <f>IF(COUNT(VLOOKUP($B165,Gender!$B$2:$K$236,10,FALSE)&amp;"")=1,VLOOKUP($B165,Gender!$B$2:$K$236,10,FALSE),"")</f>
        <v/>
      </c>
      <c r="I165" s="29" t="str">
        <f>IF(COUNT(VLOOKUP($B165,'Religious Freedom'!$B$2:$K$200,10,FALSE)&amp;"")=1,VLOOKUP($B165,'Religious Freedom'!$B$2:$K$200,10,FALSE),"")</f>
        <v/>
      </c>
    </row>
    <row r="166" ht="14.25" customHeight="1">
      <c r="A166" s="22" t="s">
        <v>323</v>
      </c>
      <c r="B166" s="22" t="s">
        <v>324</v>
      </c>
      <c r="C166" s="29" t="str">
        <f>IF(COUNT(VLOOKUP($B166,Water!$B$2:$L$235,11,FALSE)&amp;"")=1,(VLOOKUP($B166,Water!$B$2:$L$235,11,FALSE)),"")</f>
        <v/>
      </c>
      <c r="D166" s="29" t="str">
        <f>IF(COUNT(VLOOKUP($B166,Food!$B$2:$K$236,10,FALSE)&amp;"")=1,VLOOKUP($B166,Food!$B$2:$K$236,10,FALSE),"")</f>
        <v/>
      </c>
      <c r="E166" s="29" t="str">
        <f>IF(COUNT(VLOOKUP($B166,Housing!$B$2:$L$236,11,FALSE)&amp;"")=1,VLOOKUP($B166,Housing!$B$2:$L$236,11,FALSE),"")</f>
        <v/>
      </c>
      <c r="F166" s="29" t="str">
        <f>IF(COUNT(VLOOKUP($B166,Employment!$B$2:$M$236,12,FALSE)&amp;"")=1,VLOOKUP($B166,Employment!$B$2:$M$236,12,FALSE),"")</f>
        <v/>
      </c>
      <c r="G166" s="29" t="str">
        <f>IF(COUNT(VLOOKUP($B166,Education!$B$2:$L$236,11,FALSE)&amp;"")=1,VLOOKUP($B166,Education!$B$2:$L$236,11,FALSE),"")</f>
        <v/>
      </c>
      <c r="H166" s="29" t="str">
        <f>IF(COUNT(VLOOKUP($B166,Gender!$B$2:$K$236,10,FALSE)&amp;"")=1,VLOOKUP($B166,Gender!$B$2:$K$236,10,FALSE),"")</f>
        <v/>
      </c>
      <c r="I166" s="29" t="str">
        <f>IF(COUNT(VLOOKUP($B166,'Religious Freedom'!$B$2:$K$200,10,FALSE)&amp;"")=1,VLOOKUP($B166,'Religious Freedom'!$B$2:$K$200,10,FALSE),"")</f>
        <v/>
      </c>
    </row>
    <row r="167" ht="14.25" customHeight="1">
      <c r="A167" s="22" t="s">
        <v>325</v>
      </c>
      <c r="B167" s="22" t="s">
        <v>326</v>
      </c>
      <c r="C167" s="29" t="str">
        <f>IF(COUNT(VLOOKUP($B167,Water!$B$2:$L$235,11,FALSE)&amp;"")=1,(VLOOKUP($B167,Water!$B$2:$L$235,11,FALSE)),"")</f>
        <v/>
      </c>
      <c r="D167" s="29" t="str">
        <f>IF(COUNT(VLOOKUP($B167,Food!$B$2:$K$236,10,FALSE)&amp;"")=1,VLOOKUP($B167,Food!$B$2:$K$236,10,FALSE),"")</f>
        <v/>
      </c>
      <c r="E167" s="29" t="str">
        <f>IF(COUNT(VLOOKUP($B167,Housing!$B$2:$L$236,11,FALSE)&amp;"")=1,VLOOKUP($B167,Housing!$B$2:$L$236,11,FALSE),"")</f>
        <v/>
      </c>
      <c r="F167" s="29" t="str">
        <f>IF(COUNT(VLOOKUP($B167,Employment!$B$2:$M$236,12,FALSE)&amp;"")=1,VLOOKUP($B167,Employment!$B$2:$M$236,12,FALSE),"")</f>
        <v/>
      </c>
      <c r="G167" s="29" t="str">
        <f>IF(COUNT(VLOOKUP($B167,Education!$B$2:$L$236,11,FALSE)&amp;"")=1,VLOOKUP($B167,Education!$B$2:$L$236,11,FALSE),"")</f>
        <v/>
      </c>
      <c r="H167" s="29" t="str">
        <f>IF(COUNT(VLOOKUP($B167,Gender!$B$2:$K$236,10,FALSE)&amp;"")=1,VLOOKUP($B167,Gender!$B$2:$K$236,10,FALSE),"")</f>
        <v/>
      </c>
      <c r="I167" s="29" t="str">
        <f>IF(COUNT(VLOOKUP($B167,'Religious Freedom'!$B$2:$K$200,10,FALSE)&amp;"")=1,VLOOKUP($B167,'Religious Freedom'!$B$2:$K$200,10,FALSE),"")</f>
        <v/>
      </c>
    </row>
    <row r="168" ht="14.25" customHeight="1">
      <c r="A168" s="22" t="s">
        <v>327</v>
      </c>
      <c r="B168" s="22" t="s">
        <v>328</v>
      </c>
      <c r="C168" s="29" t="str">
        <f>IF(COUNT(VLOOKUP($B168,Water!$B$2:$L$235,11,FALSE)&amp;"")=1,(VLOOKUP($B168,Water!$B$2:$L$235,11,FALSE)),"")</f>
        <v/>
      </c>
      <c r="D168" s="29" t="str">
        <f>IF(COUNT(VLOOKUP($B168,Food!$B$2:$K$236,10,FALSE)&amp;"")=1,VLOOKUP($B168,Food!$B$2:$K$236,10,FALSE),"")</f>
        <v/>
      </c>
      <c r="E168" s="29" t="str">
        <f>IF(COUNT(VLOOKUP($B168,Housing!$B$2:$L$236,11,FALSE)&amp;"")=1,VLOOKUP($B168,Housing!$B$2:$L$236,11,FALSE),"")</f>
        <v/>
      </c>
      <c r="F168" s="29" t="str">
        <f>IF(COUNT(VLOOKUP($B168,Employment!$B$2:$M$236,12,FALSE)&amp;"")=1,VLOOKUP($B168,Employment!$B$2:$M$236,12,FALSE),"")</f>
        <v/>
      </c>
      <c r="G168" s="29" t="str">
        <f>IF(COUNT(VLOOKUP($B168,Education!$B$2:$L$236,11,FALSE)&amp;"")=1,VLOOKUP($B168,Education!$B$2:$L$236,11,FALSE),"")</f>
        <v/>
      </c>
      <c r="H168" s="29" t="str">
        <f>IF(COUNT(VLOOKUP($B168,Gender!$B$2:$K$236,10,FALSE)&amp;"")=1,VLOOKUP($B168,Gender!$B$2:$K$236,10,FALSE),"")</f>
        <v/>
      </c>
      <c r="I168" s="29" t="str">
        <f>IF(COUNT(VLOOKUP($B168,'Religious Freedom'!$B$2:$K$200,10,FALSE)&amp;"")=1,VLOOKUP($B168,'Religious Freedom'!$B$2:$K$200,10,FALSE),"")</f>
        <v/>
      </c>
    </row>
    <row r="169" ht="14.25" customHeight="1">
      <c r="A169" s="22" t="s">
        <v>329</v>
      </c>
      <c r="B169" s="22" t="s">
        <v>330</v>
      </c>
      <c r="C169" s="29" t="str">
        <f>IF(COUNT(VLOOKUP($B169,Water!$B$2:$L$235,11,FALSE)&amp;"")=1,(VLOOKUP($B169,Water!$B$2:$L$235,11,FALSE)),"")</f>
        <v/>
      </c>
      <c r="D169" s="29" t="str">
        <f>IF(COUNT(VLOOKUP($B169,Food!$B$2:$K$236,10,FALSE)&amp;"")=1,VLOOKUP($B169,Food!$B$2:$K$236,10,FALSE),"")</f>
        <v/>
      </c>
      <c r="E169" s="29" t="str">
        <f>IF(COUNT(VLOOKUP($B169,Housing!$B$2:$L$236,11,FALSE)&amp;"")=1,VLOOKUP($B169,Housing!$B$2:$L$236,11,FALSE),"")</f>
        <v/>
      </c>
      <c r="F169" s="29" t="str">
        <f>IF(COUNT(VLOOKUP($B169,Employment!$B$2:$M$236,12,FALSE)&amp;"")=1,VLOOKUP($B169,Employment!$B$2:$M$236,12,FALSE),"")</f>
        <v/>
      </c>
      <c r="G169" s="29" t="str">
        <f>IF(COUNT(VLOOKUP($B169,Education!$B$2:$L$236,11,FALSE)&amp;"")=1,VLOOKUP($B169,Education!$B$2:$L$236,11,FALSE),"")</f>
        <v/>
      </c>
      <c r="H169" s="29" t="str">
        <f>IF(COUNT(VLOOKUP($B169,Gender!$B$2:$K$236,10,FALSE)&amp;"")=1,VLOOKUP($B169,Gender!$B$2:$K$236,10,FALSE),"")</f>
        <v/>
      </c>
      <c r="I169" s="29" t="str">
        <f>IF(COUNT(VLOOKUP($B169,'Religious Freedom'!$B$2:$K$200,10,FALSE)&amp;"")=1,VLOOKUP($B169,'Religious Freedom'!$B$2:$K$200,10,FALSE),"")</f>
        <v/>
      </c>
    </row>
    <row r="170" ht="14.25" customHeight="1">
      <c r="A170" s="22" t="s">
        <v>331</v>
      </c>
      <c r="B170" s="22" t="s">
        <v>332</v>
      </c>
      <c r="C170" s="29" t="str">
        <f>IF(COUNT(VLOOKUP($B170,Water!$B$2:$L$235,11,FALSE)&amp;"")=1,(VLOOKUP($B170,Water!$B$2:$L$235,11,FALSE)),"")</f>
        <v/>
      </c>
      <c r="D170" s="29" t="str">
        <f>IF(COUNT(VLOOKUP($B170,Food!$B$2:$K$236,10,FALSE)&amp;"")=1,VLOOKUP($B170,Food!$B$2:$K$236,10,FALSE),"")</f>
        <v/>
      </c>
      <c r="E170" s="29" t="str">
        <f>IF(COUNT(VLOOKUP($B170,Housing!$B$2:$L$236,11,FALSE)&amp;"")=1,VLOOKUP($B170,Housing!$B$2:$L$236,11,FALSE),"")</f>
        <v/>
      </c>
      <c r="F170" s="29" t="str">
        <f>IF(COUNT(VLOOKUP($B170,Employment!$B$2:$M$236,12,FALSE)&amp;"")=1,VLOOKUP($B170,Employment!$B$2:$M$236,12,FALSE),"")</f>
        <v/>
      </c>
      <c r="G170" s="29" t="str">
        <f>IF(COUNT(VLOOKUP($B170,Education!$B$2:$L$236,11,FALSE)&amp;"")=1,VLOOKUP($B170,Education!$B$2:$L$236,11,FALSE),"")</f>
        <v/>
      </c>
      <c r="H170" s="29" t="str">
        <f>IF(COUNT(VLOOKUP($B170,Gender!$B$2:$K$236,10,FALSE)&amp;"")=1,VLOOKUP($B170,Gender!$B$2:$K$236,10,FALSE),"")</f>
        <v/>
      </c>
      <c r="I170" s="29" t="str">
        <f>IF(COUNT(VLOOKUP($B170,'Religious Freedom'!$B$2:$K$200,10,FALSE)&amp;"")=1,VLOOKUP($B170,'Religious Freedom'!$B$2:$K$200,10,FALSE),"")</f>
        <v/>
      </c>
    </row>
    <row r="171" ht="14.25" customHeight="1">
      <c r="A171" s="22" t="s">
        <v>333</v>
      </c>
      <c r="B171" s="22" t="s">
        <v>334</v>
      </c>
      <c r="C171" s="29" t="str">
        <f>IF(COUNT(VLOOKUP($B171,Water!$B$2:$L$235,11,FALSE)&amp;"")=1,(VLOOKUP($B171,Water!$B$2:$L$235,11,FALSE)),"")</f>
        <v/>
      </c>
      <c r="D171" s="29" t="str">
        <f>IF(COUNT(VLOOKUP($B171,Food!$B$2:$K$236,10,FALSE)&amp;"")=1,VLOOKUP($B171,Food!$B$2:$K$236,10,FALSE),"")</f>
        <v/>
      </c>
      <c r="E171" s="29" t="str">
        <f>IF(COUNT(VLOOKUP($B171,Housing!$B$2:$L$236,11,FALSE)&amp;"")=1,VLOOKUP($B171,Housing!$B$2:$L$236,11,FALSE),"")</f>
        <v/>
      </c>
      <c r="F171" s="29" t="str">
        <f>IF(COUNT(VLOOKUP($B171,Employment!$B$2:$M$236,12,FALSE)&amp;"")=1,VLOOKUP($B171,Employment!$B$2:$M$236,12,FALSE),"")</f>
        <v/>
      </c>
      <c r="G171" s="29" t="str">
        <f>IF(COUNT(VLOOKUP($B171,Education!$B$2:$L$236,11,FALSE)&amp;"")=1,VLOOKUP($B171,Education!$B$2:$L$236,11,FALSE),"")</f>
        <v/>
      </c>
      <c r="H171" s="29" t="str">
        <f>IF(COUNT(VLOOKUP($B171,Gender!$B$2:$K$236,10,FALSE)&amp;"")=1,VLOOKUP($B171,Gender!$B$2:$K$236,10,FALSE),"")</f>
        <v/>
      </c>
      <c r="I171" s="29" t="str">
        <f>IF(COUNT(VLOOKUP($B171,'Religious Freedom'!$B$2:$K$200,10,FALSE)&amp;"")=1,VLOOKUP($B171,'Religious Freedom'!$B$2:$K$200,10,FALSE),"")</f>
        <v/>
      </c>
    </row>
    <row r="172" ht="14.25" customHeight="1">
      <c r="A172" s="22" t="s">
        <v>335</v>
      </c>
      <c r="B172" s="22" t="s">
        <v>336</v>
      </c>
      <c r="C172" s="29" t="str">
        <f>IF(COUNT(VLOOKUP($B172,Water!$B$2:$L$235,11,FALSE)&amp;"")=1,(VLOOKUP($B172,Water!$B$2:$L$235,11,FALSE)),"")</f>
        <v/>
      </c>
      <c r="D172" s="29" t="str">
        <f>IF(COUNT(VLOOKUP($B172,Food!$B$2:$K$236,10,FALSE)&amp;"")=1,VLOOKUP($B172,Food!$B$2:$K$236,10,FALSE),"")</f>
        <v/>
      </c>
      <c r="E172" s="29" t="str">
        <f>IF(COUNT(VLOOKUP($B172,Housing!$B$2:$L$236,11,FALSE)&amp;"")=1,VLOOKUP($B172,Housing!$B$2:$L$236,11,FALSE),"")</f>
        <v/>
      </c>
      <c r="F172" s="29" t="str">
        <f>IF(COUNT(VLOOKUP($B172,Employment!$B$2:$M$236,12,FALSE)&amp;"")=1,VLOOKUP($B172,Employment!$B$2:$M$236,12,FALSE),"")</f>
        <v/>
      </c>
      <c r="G172" s="29" t="str">
        <f>IF(COUNT(VLOOKUP($B172,Education!$B$2:$L$236,11,FALSE)&amp;"")=1,VLOOKUP($B172,Education!$B$2:$L$236,11,FALSE),"")</f>
        <v/>
      </c>
      <c r="H172" s="29" t="str">
        <f>IF(COUNT(VLOOKUP($B172,Gender!$B$2:$K$236,10,FALSE)&amp;"")=1,VLOOKUP($B172,Gender!$B$2:$K$236,10,FALSE),"")</f>
        <v/>
      </c>
      <c r="I172" s="29" t="str">
        <f>IF(COUNT(VLOOKUP($B172,'Religious Freedom'!$B$2:$K$200,10,FALSE)&amp;"")=1,VLOOKUP($B172,'Religious Freedom'!$B$2:$K$200,10,FALSE),"")</f>
        <v/>
      </c>
    </row>
    <row r="173" ht="14.25" customHeight="1">
      <c r="A173" s="22" t="s">
        <v>337</v>
      </c>
      <c r="B173" s="22" t="s">
        <v>338</v>
      </c>
      <c r="C173" s="29" t="str">
        <f>IF(COUNT(VLOOKUP($B173,Water!$B$2:$L$235,11,FALSE)&amp;"")=1,(VLOOKUP($B173,Water!$B$2:$L$235,11,FALSE)),"")</f>
        <v/>
      </c>
      <c r="D173" s="29" t="str">
        <f>IF(COUNT(VLOOKUP($B173,Food!$B$2:$K$236,10,FALSE)&amp;"")=1,VLOOKUP($B173,Food!$B$2:$K$236,10,FALSE),"")</f>
        <v/>
      </c>
      <c r="E173" s="29" t="str">
        <f>IF(COUNT(VLOOKUP($B173,Housing!$B$2:$L$236,11,FALSE)&amp;"")=1,VLOOKUP($B173,Housing!$B$2:$L$236,11,FALSE),"")</f>
        <v/>
      </c>
      <c r="F173" s="29" t="str">
        <f>IF(COUNT(VLOOKUP($B173,Employment!$B$2:$M$236,12,FALSE)&amp;"")=1,VLOOKUP($B173,Employment!$B$2:$M$236,12,FALSE),"")</f>
        <v/>
      </c>
      <c r="G173" s="29" t="str">
        <f>IF(COUNT(VLOOKUP($B173,Education!$B$2:$L$236,11,FALSE)&amp;"")=1,VLOOKUP($B173,Education!$B$2:$L$236,11,FALSE),"")</f>
        <v/>
      </c>
      <c r="H173" s="29" t="str">
        <f>IF(COUNT(VLOOKUP($B173,Gender!$B$2:$K$236,10,FALSE)&amp;"")=1,VLOOKUP($B173,Gender!$B$2:$K$236,10,FALSE),"")</f>
        <v/>
      </c>
      <c r="I173" s="29" t="str">
        <f>IF(COUNT(VLOOKUP($B173,'Religious Freedom'!$B$2:$K$200,10,FALSE)&amp;"")=1,VLOOKUP($B173,'Religious Freedom'!$B$2:$K$200,10,FALSE),"")</f>
        <v/>
      </c>
    </row>
    <row r="174" ht="14.25" customHeight="1">
      <c r="A174" s="22" t="s">
        <v>339</v>
      </c>
      <c r="B174" s="22" t="s">
        <v>340</v>
      </c>
      <c r="C174" s="29" t="str">
        <f>IF(COUNT(VLOOKUP($B174,Water!$B$2:$L$235,11,FALSE)&amp;"")=1,(VLOOKUP($B174,Water!$B$2:$L$235,11,FALSE)),"")</f>
        <v/>
      </c>
      <c r="D174" s="29" t="str">
        <f>IF(COUNT(VLOOKUP($B174,Food!$B$2:$K$236,10,FALSE)&amp;"")=1,VLOOKUP($B174,Food!$B$2:$K$236,10,FALSE),"")</f>
        <v/>
      </c>
      <c r="E174" s="29" t="str">
        <f>IF(COUNT(VLOOKUP($B174,Housing!$B$2:$L$236,11,FALSE)&amp;"")=1,VLOOKUP($B174,Housing!$B$2:$L$236,11,FALSE),"")</f>
        <v/>
      </c>
      <c r="F174" s="29" t="str">
        <f>IF(COUNT(VLOOKUP($B174,Employment!$B$2:$M$236,12,FALSE)&amp;"")=1,VLOOKUP($B174,Employment!$B$2:$M$236,12,FALSE),"")</f>
        <v/>
      </c>
      <c r="G174" s="29" t="str">
        <f>IF(COUNT(VLOOKUP($B174,Education!$B$2:$L$236,11,FALSE)&amp;"")=1,VLOOKUP($B174,Education!$B$2:$L$236,11,FALSE),"")</f>
        <v/>
      </c>
      <c r="H174" s="29" t="str">
        <f>IF(COUNT(VLOOKUP($B174,Gender!$B$2:$K$236,10,FALSE)&amp;"")=1,VLOOKUP($B174,Gender!$B$2:$K$236,10,FALSE),"")</f>
        <v/>
      </c>
      <c r="I174" s="29" t="str">
        <f>IF(COUNT(VLOOKUP($B174,'Religious Freedom'!$B$2:$K$200,10,FALSE)&amp;"")=1,VLOOKUP($B174,'Religious Freedom'!$B$2:$K$200,10,FALSE),"")</f>
        <v/>
      </c>
    </row>
    <row r="175" ht="14.25" customHeight="1">
      <c r="A175" s="22" t="s">
        <v>341</v>
      </c>
      <c r="B175" s="22" t="s">
        <v>342</v>
      </c>
      <c r="C175" s="29" t="str">
        <f>IF(COUNT(VLOOKUP($B175,Water!$B$2:$L$235,11,FALSE)&amp;"")=1,(VLOOKUP($B175,Water!$B$2:$L$235,11,FALSE)),"")</f>
        <v/>
      </c>
      <c r="D175" s="29" t="str">
        <f>IF(COUNT(VLOOKUP($B175,Food!$B$2:$K$236,10,FALSE)&amp;"")=1,VLOOKUP($B175,Food!$B$2:$K$236,10,FALSE),"")</f>
        <v/>
      </c>
      <c r="E175" s="29" t="str">
        <f>IF(COUNT(VLOOKUP($B175,Housing!$B$2:$L$236,11,FALSE)&amp;"")=1,VLOOKUP($B175,Housing!$B$2:$L$236,11,FALSE),"")</f>
        <v/>
      </c>
      <c r="F175" s="29" t="str">
        <f>IF(COUNT(VLOOKUP($B175,Employment!$B$2:$M$236,12,FALSE)&amp;"")=1,VLOOKUP($B175,Employment!$B$2:$M$236,12,FALSE),"")</f>
        <v/>
      </c>
      <c r="G175" s="29" t="str">
        <f>IF(COUNT(VLOOKUP($B175,Education!$B$2:$L$236,11,FALSE)&amp;"")=1,VLOOKUP($B175,Education!$B$2:$L$236,11,FALSE),"")</f>
        <v/>
      </c>
      <c r="H175" s="29" t="str">
        <f>IF(COUNT(VLOOKUP($B175,Gender!$B$2:$K$236,10,FALSE)&amp;"")=1,VLOOKUP($B175,Gender!$B$2:$K$236,10,FALSE),"")</f>
        <v/>
      </c>
      <c r="I175" s="29" t="str">
        <f>IF(COUNT(VLOOKUP($B175,'Religious Freedom'!$B$2:$K$200,10,FALSE)&amp;"")=1,VLOOKUP($B175,'Religious Freedom'!$B$2:$K$200,10,FALSE),"")</f>
        <v/>
      </c>
    </row>
    <row r="176" ht="14.25" customHeight="1">
      <c r="A176" s="22" t="s">
        <v>343</v>
      </c>
      <c r="B176" s="22" t="s">
        <v>344</v>
      </c>
      <c r="C176" s="29" t="str">
        <f>IF(COUNT(VLOOKUP($B176,Water!$B$2:$L$235,11,FALSE)&amp;"")=1,(VLOOKUP($B176,Water!$B$2:$L$235,11,FALSE)),"")</f>
        <v/>
      </c>
      <c r="D176" s="29" t="str">
        <f>IF(COUNT(VLOOKUP($B176,Food!$B$2:$K$236,10,FALSE)&amp;"")=1,VLOOKUP($B176,Food!$B$2:$K$236,10,FALSE),"")</f>
        <v/>
      </c>
      <c r="E176" s="29" t="str">
        <f>IF(COUNT(VLOOKUP($B176,Housing!$B$2:$L$236,11,FALSE)&amp;"")=1,VLOOKUP($B176,Housing!$B$2:$L$236,11,FALSE),"")</f>
        <v/>
      </c>
      <c r="F176" s="29" t="str">
        <f>IF(COUNT(VLOOKUP($B176,Employment!$B$2:$M$236,12,FALSE)&amp;"")=1,VLOOKUP($B176,Employment!$B$2:$M$236,12,FALSE),"")</f>
        <v/>
      </c>
      <c r="G176" s="29" t="str">
        <f>IF(COUNT(VLOOKUP($B176,Education!$B$2:$L$236,11,FALSE)&amp;"")=1,VLOOKUP($B176,Education!$B$2:$L$236,11,FALSE),"")</f>
        <v/>
      </c>
      <c r="H176" s="29" t="str">
        <f>IF(COUNT(VLOOKUP($B176,Gender!$B$2:$K$236,10,FALSE)&amp;"")=1,VLOOKUP($B176,Gender!$B$2:$K$236,10,FALSE),"")</f>
        <v/>
      </c>
      <c r="I176" s="29" t="str">
        <f>IF(COUNT(VLOOKUP($B176,'Religious Freedom'!$B$2:$K$200,10,FALSE)&amp;"")=1,VLOOKUP($B176,'Religious Freedom'!$B$2:$K$200,10,FALSE),"")</f>
        <v/>
      </c>
    </row>
    <row r="177" ht="14.25" customHeight="1">
      <c r="A177" s="22" t="s">
        <v>345</v>
      </c>
      <c r="B177" s="22" t="s">
        <v>346</v>
      </c>
      <c r="C177" s="29" t="str">
        <f>IF(COUNT(VLOOKUP($B177,Water!$B$2:$L$235,11,FALSE)&amp;"")=1,(VLOOKUP($B177,Water!$B$2:$L$235,11,FALSE)),"")</f>
        <v/>
      </c>
      <c r="D177" s="29" t="str">
        <f>IF(COUNT(VLOOKUP($B177,Food!$B$2:$K$236,10,FALSE)&amp;"")=1,VLOOKUP($B177,Food!$B$2:$K$236,10,FALSE),"")</f>
        <v/>
      </c>
      <c r="E177" s="29" t="str">
        <f>IF(COUNT(VLOOKUP($B177,Housing!$B$2:$L$236,11,FALSE)&amp;"")=1,VLOOKUP($B177,Housing!$B$2:$L$236,11,FALSE),"")</f>
        <v/>
      </c>
      <c r="F177" s="29" t="str">
        <f>IF(COUNT(VLOOKUP($B177,Employment!$B$2:$M$236,12,FALSE)&amp;"")=1,VLOOKUP($B177,Employment!$B$2:$M$236,12,FALSE),"")</f>
        <v/>
      </c>
      <c r="G177" s="29" t="str">
        <f>IF(COUNT(VLOOKUP($B177,Education!$B$2:$L$236,11,FALSE)&amp;"")=1,VLOOKUP($B177,Education!$B$2:$L$236,11,FALSE),"")</f>
        <v/>
      </c>
      <c r="H177" s="29" t="str">
        <f>IF(COUNT(VLOOKUP($B177,Gender!$B$2:$K$236,10,FALSE)&amp;"")=1,VLOOKUP($B177,Gender!$B$2:$K$236,10,FALSE),"")</f>
        <v/>
      </c>
      <c r="I177" s="29" t="str">
        <f>IF(COUNT(VLOOKUP($B177,'Religious Freedom'!$B$2:$K$200,10,FALSE)&amp;"")=1,VLOOKUP($B177,'Religious Freedom'!$B$2:$K$200,10,FALSE),"")</f>
        <v/>
      </c>
    </row>
    <row r="178" ht="14.25" customHeight="1">
      <c r="A178" s="22" t="s">
        <v>347</v>
      </c>
      <c r="B178" s="22" t="s">
        <v>348</v>
      </c>
      <c r="C178" s="29" t="str">
        <f>IF(COUNT(VLOOKUP($B178,Water!$B$2:$L$235,11,FALSE)&amp;"")=1,(VLOOKUP($B178,Water!$B$2:$L$235,11,FALSE)),"")</f>
        <v/>
      </c>
      <c r="D178" s="29" t="str">
        <f>IF(COUNT(VLOOKUP($B178,Food!$B$2:$K$236,10,FALSE)&amp;"")=1,VLOOKUP($B178,Food!$B$2:$K$236,10,FALSE),"")</f>
        <v/>
      </c>
      <c r="E178" s="29" t="str">
        <f>IF(COUNT(VLOOKUP($B178,Housing!$B$2:$L$236,11,FALSE)&amp;"")=1,VLOOKUP($B178,Housing!$B$2:$L$236,11,FALSE),"")</f>
        <v/>
      </c>
      <c r="F178" s="29" t="str">
        <f>IF(COUNT(VLOOKUP($B178,Employment!$B$2:$M$236,12,FALSE)&amp;"")=1,VLOOKUP($B178,Employment!$B$2:$M$236,12,FALSE),"")</f>
        <v/>
      </c>
      <c r="G178" s="29" t="str">
        <f>IF(COUNT(VLOOKUP($B178,Education!$B$2:$L$236,11,FALSE)&amp;"")=1,VLOOKUP($B178,Education!$B$2:$L$236,11,FALSE),"")</f>
        <v/>
      </c>
      <c r="H178" s="29" t="str">
        <f>IF(COUNT(VLOOKUP($B178,Gender!$B$2:$K$236,10,FALSE)&amp;"")=1,VLOOKUP($B178,Gender!$B$2:$K$236,10,FALSE),"")</f>
        <v/>
      </c>
      <c r="I178" s="29" t="str">
        <f>IF(COUNT(VLOOKUP($B178,'Religious Freedom'!$B$2:$K$200,10,FALSE)&amp;"")=1,VLOOKUP($B178,'Religious Freedom'!$B$2:$K$200,10,FALSE),"")</f>
        <v/>
      </c>
    </row>
    <row r="179" ht="14.25" customHeight="1">
      <c r="A179" s="22" t="s">
        <v>349</v>
      </c>
      <c r="B179" s="22" t="s">
        <v>350</v>
      </c>
      <c r="C179" s="29" t="str">
        <f>IF(COUNT(VLOOKUP($B179,Water!$B$2:$L$235,11,FALSE)&amp;"")=1,(VLOOKUP($B179,Water!$B$2:$L$235,11,FALSE)),"")</f>
        <v/>
      </c>
      <c r="D179" s="29" t="str">
        <f>IF(COUNT(VLOOKUP($B179,Food!$B$2:$K$236,10,FALSE)&amp;"")=1,VLOOKUP($B179,Food!$B$2:$K$236,10,FALSE),"")</f>
        <v/>
      </c>
      <c r="E179" s="29" t="str">
        <f>IF(COUNT(VLOOKUP($B179,Housing!$B$2:$L$236,11,FALSE)&amp;"")=1,VLOOKUP($B179,Housing!$B$2:$L$236,11,FALSE),"")</f>
        <v/>
      </c>
      <c r="F179" s="29" t="str">
        <f>IF(COUNT(VLOOKUP($B179,Employment!$B$2:$M$236,12,FALSE)&amp;"")=1,VLOOKUP($B179,Employment!$B$2:$M$236,12,FALSE),"")</f>
        <v/>
      </c>
      <c r="G179" s="29" t="str">
        <f>IF(COUNT(VLOOKUP($B179,Education!$B$2:$L$236,11,FALSE)&amp;"")=1,VLOOKUP($B179,Education!$B$2:$L$236,11,FALSE),"")</f>
        <v/>
      </c>
      <c r="H179" s="29" t="str">
        <f>IF(COUNT(VLOOKUP($B179,Gender!$B$2:$K$236,10,FALSE)&amp;"")=1,VLOOKUP($B179,Gender!$B$2:$K$236,10,FALSE),"")</f>
        <v/>
      </c>
      <c r="I179" s="29" t="str">
        <f>IF(COUNT(VLOOKUP($B179,'Religious Freedom'!$B$2:$K$200,10,FALSE)&amp;"")=1,VLOOKUP($B179,'Religious Freedom'!$B$2:$K$200,10,FALSE),"")</f>
        <v/>
      </c>
    </row>
    <row r="180" ht="14.25" customHeight="1">
      <c r="A180" s="22" t="s">
        <v>351</v>
      </c>
      <c r="B180" s="22" t="s">
        <v>352</v>
      </c>
      <c r="C180" s="29" t="str">
        <f>IF(COUNT(VLOOKUP($B180,Water!$B$2:$L$235,11,FALSE)&amp;"")=1,(VLOOKUP($B180,Water!$B$2:$L$235,11,FALSE)),"")</f>
        <v/>
      </c>
      <c r="D180" s="29" t="str">
        <f>IF(COUNT(VLOOKUP($B180,Food!$B$2:$K$236,10,FALSE)&amp;"")=1,VLOOKUP($B180,Food!$B$2:$K$236,10,FALSE),"")</f>
        <v/>
      </c>
      <c r="E180" s="29" t="str">
        <f>IF(COUNT(VLOOKUP($B180,Housing!$B$2:$L$236,11,FALSE)&amp;"")=1,VLOOKUP($B180,Housing!$B$2:$L$236,11,FALSE),"")</f>
        <v/>
      </c>
      <c r="F180" s="29" t="str">
        <f>IF(COUNT(VLOOKUP($B180,Employment!$B$2:$M$236,12,FALSE)&amp;"")=1,VLOOKUP($B180,Employment!$B$2:$M$236,12,FALSE),"")</f>
        <v/>
      </c>
      <c r="G180" s="29" t="str">
        <f>IF(COUNT(VLOOKUP($B180,Education!$B$2:$L$236,11,FALSE)&amp;"")=1,VLOOKUP($B180,Education!$B$2:$L$236,11,FALSE),"")</f>
        <v/>
      </c>
      <c r="H180" s="29" t="str">
        <f>IF(COUNT(VLOOKUP($B180,Gender!$B$2:$K$236,10,FALSE)&amp;"")=1,VLOOKUP($B180,Gender!$B$2:$K$236,10,FALSE),"")</f>
        <v/>
      </c>
      <c r="I180" s="29" t="str">
        <f>IF(COUNT(VLOOKUP($B180,'Religious Freedom'!$B$2:$K$200,10,FALSE)&amp;"")=1,VLOOKUP($B180,'Religious Freedom'!$B$2:$K$200,10,FALSE),"")</f>
        <v/>
      </c>
    </row>
    <row r="181" ht="14.25" customHeight="1">
      <c r="A181" s="22" t="s">
        <v>353</v>
      </c>
      <c r="B181" s="22" t="s">
        <v>354</v>
      </c>
      <c r="C181" s="29" t="str">
        <f>IF(COUNT(VLOOKUP($B181,Water!$B$2:$L$235,11,FALSE)&amp;"")=1,(VLOOKUP($B181,Water!$B$2:$L$235,11,FALSE)),"")</f>
        <v/>
      </c>
      <c r="D181" s="29" t="str">
        <f>IF(COUNT(VLOOKUP($B181,Food!$B$2:$K$236,10,FALSE)&amp;"")=1,VLOOKUP($B181,Food!$B$2:$K$236,10,FALSE),"")</f>
        <v/>
      </c>
      <c r="E181" s="29" t="str">
        <f>IF(COUNT(VLOOKUP($B181,Housing!$B$2:$L$236,11,FALSE)&amp;"")=1,VLOOKUP($B181,Housing!$B$2:$L$236,11,FALSE),"")</f>
        <v/>
      </c>
      <c r="F181" s="29" t="str">
        <f>IF(COUNT(VLOOKUP($B181,Employment!$B$2:$M$236,12,FALSE)&amp;"")=1,VLOOKUP($B181,Employment!$B$2:$M$236,12,FALSE),"")</f>
        <v/>
      </c>
      <c r="G181" s="29" t="str">
        <f>IF(COUNT(VLOOKUP($B181,Education!$B$2:$L$236,11,FALSE)&amp;"")=1,VLOOKUP($B181,Education!$B$2:$L$236,11,FALSE),"")</f>
        <v/>
      </c>
      <c r="H181" s="29" t="str">
        <f>IF(COUNT(VLOOKUP($B181,Gender!$B$2:$K$236,10,FALSE)&amp;"")=1,VLOOKUP($B181,Gender!$B$2:$K$236,10,FALSE),"")</f>
        <v/>
      </c>
      <c r="I181" s="29" t="str">
        <f>IF(COUNT(VLOOKUP($B181,'Religious Freedom'!$B$2:$K$200,10,FALSE)&amp;"")=1,VLOOKUP($B181,'Religious Freedom'!$B$2:$K$200,10,FALSE),"")</f>
        <v/>
      </c>
    </row>
    <row r="182" ht="14.25" customHeight="1">
      <c r="A182" s="22" t="s">
        <v>355</v>
      </c>
      <c r="B182" s="22" t="s">
        <v>356</v>
      </c>
      <c r="C182" s="29" t="str">
        <f>IF(COUNT(VLOOKUP($B182,Water!$B$2:$L$235,11,FALSE)&amp;"")=1,(VLOOKUP($B182,Water!$B$2:$L$235,11,FALSE)),"")</f>
        <v/>
      </c>
      <c r="D182" s="29" t="str">
        <f>IF(COUNT(VLOOKUP($B182,Food!$B$2:$K$236,10,FALSE)&amp;"")=1,VLOOKUP($B182,Food!$B$2:$K$236,10,FALSE),"")</f>
        <v/>
      </c>
      <c r="E182" s="29" t="str">
        <f>IF(COUNT(VLOOKUP($B182,Housing!$B$2:$L$236,11,FALSE)&amp;"")=1,VLOOKUP($B182,Housing!$B$2:$L$236,11,FALSE),"")</f>
        <v/>
      </c>
      <c r="F182" s="29" t="str">
        <f>IF(COUNT(VLOOKUP($B182,Employment!$B$2:$M$236,12,FALSE)&amp;"")=1,VLOOKUP($B182,Employment!$B$2:$M$236,12,FALSE),"")</f>
        <v/>
      </c>
      <c r="G182" s="29" t="str">
        <f>IF(COUNT(VLOOKUP($B182,Education!$B$2:$L$236,11,FALSE)&amp;"")=1,VLOOKUP($B182,Education!$B$2:$L$236,11,FALSE),"")</f>
        <v/>
      </c>
      <c r="H182" s="29" t="str">
        <f>IF(COUNT(VLOOKUP($B182,Gender!$B$2:$K$236,10,FALSE)&amp;"")=1,VLOOKUP($B182,Gender!$B$2:$K$236,10,FALSE),"")</f>
        <v/>
      </c>
      <c r="I182" s="29" t="str">
        <f>IF(COUNT(VLOOKUP($B182,'Religious Freedom'!$B$2:$K$200,10,FALSE)&amp;"")=1,VLOOKUP($B182,'Religious Freedom'!$B$2:$K$200,10,FALSE),"")</f>
        <v/>
      </c>
    </row>
    <row r="183" ht="14.25" customHeight="1">
      <c r="A183" s="22" t="s">
        <v>357</v>
      </c>
      <c r="B183" s="22" t="s">
        <v>358</v>
      </c>
      <c r="C183" s="29" t="str">
        <f>IF(COUNT(VLOOKUP($B183,Water!$B$2:$L$235,11,FALSE)&amp;"")=1,(VLOOKUP($B183,Water!$B$2:$L$235,11,FALSE)),"")</f>
        <v/>
      </c>
      <c r="D183" s="29" t="str">
        <f>IF(COUNT(VLOOKUP($B183,Food!$B$2:$K$236,10,FALSE)&amp;"")=1,VLOOKUP($B183,Food!$B$2:$K$236,10,FALSE),"")</f>
        <v/>
      </c>
      <c r="E183" s="29" t="str">
        <f>IF(COUNT(VLOOKUP($B183,Housing!$B$2:$L$236,11,FALSE)&amp;"")=1,VLOOKUP($B183,Housing!$B$2:$L$236,11,FALSE),"")</f>
        <v/>
      </c>
      <c r="F183" s="29" t="str">
        <f>IF(COUNT(VLOOKUP($B183,Employment!$B$2:$M$236,12,FALSE)&amp;"")=1,VLOOKUP($B183,Employment!$B$2:$M$236,12,FALSE),"")</f>
        <v/>
      </c>
      <c r="G183" s="29" t="str">
        <f>IF(COUNT(VLOOKUP($B183,Education!$B$2:$L$236,11,FALSE)&amp;"")=1,VLOOKUP($B183,Education!$B$2:$L$236,11,FALSE),"")</f>
        <v/>
      </c>
      <c r="H183" s="29" t="str">
        <f>IF(COUNT(VLOOKUP($B183,Gender!$B$2:$K$236,10,FALSE)&amp;"")=1,VLOOKUP($B183,Gender!$B$2:$K$236,10,FALSE),"")</f>
        <v/>
      </c>
      <c r="I183" s="29" t="str">
        <f>IF(COUNT(VLOOKUP($B183,'Religious Freedom'!$B$2:$K$200,10,FALSE)&amp;"")=1,VLOOKUP($B183,'Religious Freedom'!$B$2:$K$200,10,FALSE),"")</f>
        <v/>
      </c>
    </row>
    <row r="184" ht="14.25" customHeight="1">
      <c r="A184" s="22" t="s">
        <v>359</v>
      </c>
      <c r="B184" s="22" t="s">
        <v>360</v>
      </c>
      <c r="C184" s="29" t="str">
        <f>IF(COUNT(VLOOKUP($B184,Water!$B$2:$L$235,11,FALSE)&amp;"")=1,(VLOOKUP($B184,Water!$B$2:$L$235,11,FALSE)),"")</f>
        <v/>
      </c>
      <c r="D184" s="29" t="str">
        <f>IF(COUNT(VLOOKUP($B184,Food!$B$2:$K$236,10,FALSE)&amp;"")=1,VLOOKUP($B184,Food!$B$2:$K$236,10,FALSE),"")</f>
        <v/>
      </c>
      <c r="E184" s="29" t="str">
        <f>IF(COUNT(VLOOKUP($B184,Housing!$B$2:$L$236,11,FALSE)&amp;"")=1,VLOOKUP($B184,Housing!$B$2:$L$236,11,FALSE),"")</f>
        <v/>
      </c>
      <c r="F184" s="29" t="str">
        <f>IF(COUNT(VLOOKUP($B184,Employment!$B$2:$M$236,12,FALSE)&amp;"")=1,VLOOKUP($B184,Employment!$B$2:$M$236,12,FALSE),"")</f>
        <v/>
      </c>
      <c r="G184" s="29" t="str">
        <f>IF(COUNT(VLOOKUP($B184,Education!$B$2:$L$236,11,FALSE)&amp;"")=1,VLOOKUP($B184,Education!$B$2:$L$236,11,FALSE),"")</f>
        <v/>
      </c>
      <c r="H184" s="29" t="str">
        <f>IF(COUNT(VLOOKUP($B184,Gender!$B$2:$K$236,10,FALSE)&amp;"")=1,VLOOKUP($B184,Gender!$B$2:$K$236,10,FALSE),"")</f>
        <v/>
      </c>
      <c r="I184" s="29" t="str">
        <f>IF(COUNT(VLOOKUP($B184,'Religious Freedom'!$B$2:$K$200,10,FALSE)&amp;"")=1,VLOOKUP($B184,'Religious Freedom'!$B$2:$K$200,10,FALSE),"")</f>
        <v/>
      </c>
    </row>
    <row r="185" ht="14.25" customHeight="1">
      <c r="A185" s="22" t="s">
        <v>361</v>
      </c>
      <c r="B185" s="22" t="s">
        <v>362</v>
      </c>
      <c r="C185" s="29" t="str">
        <f>IF(COUNT(VLOOKUP($B185,Water!$B$2:$L$235,11,FALSE)&amp;"")=1,(VLOOKUP($B185,Water!$B$2:$L$235,11,FALSE)),"")</f>
        <v/>
      </c>
      <c r="D185" s="29" t="str">
        <f>IF(COUNT(VLOOKUP($B185,Food!$B$2:$K$236,10,FALSE)&amp;"")=1,VLOOKUP($B185,Food!$B$2:$K$236,10,FALSE),"")</f>
        <v/>
      </c>
      <c r="E185" s="29" t="str">
        <f>IF(COUNT(VLOOKUP($B185,Housing!$B$2:$L$236,11,FALSE)&amp;"")=1,VLOOKUP($B185,Housing!$B$2:$L$236,11,FALSE),"")</f>
        <v/>
      </c>
      <c r="F185" s="29" t="str">
        <f>IF(COUNT(VLOOKUP($B185,Employment!$B$2:$M$236,12,FALSE)&amp;"")=1,VLOOKUP($B185,Employment!$B$2:$M$236,12,FALSE),"")</f>
        <v/>
      </c>
      <c r="G185" s="29" t="str">
        <f>IF(COUNT(VLOOKUP($B185,Education!$B$2:$L$236,11,FALSE)&amp;"")=1,VLOOKUP($B185,Education!$B$2:$L$236,11,FALSE),"")</f>
        <v/>
      </c>
      <c r="H185" s="29" t="str">
        <f>IF(COUNT(VLOOKUP($B185,Gender!$B$2:$K$236,10,FALSE)&amp;"")=1,VLOOKUP($B185,Gender!$B$2:$K$236,10,FALSE),"")</f>
        <v/>
      </c>
      <c r="I185" s="29" t="str">
        <f>IF(COUNT(VLOOKUP($B185,'Religious Freedom'!$B$2:$K$200,10,FALSE)&amp;"")=1,VLOOKUP($B185,'Religious Freedom'!$B$2:$K$200,10,FALSE),"")</f>
        <v/>
      </c>
    </row>
    <row r="186" ht="14.25" customHeight="1">
      <c r="A186" s="22" t="s">
        <v>363</v>
      </c>
      <c r="B186" s="22" t="s">
        <v>364</v>
      </c>
      <c r="C186" s="29" t="str">
        <f>IF(COUNT(VLOOKUP($B186,Water!$B$2:$L$235,11,FALSE)&amp;"")=1,(VLOOKUP($B186,Water!$B$2:$L$235,11,FALSE)),"")</f>
        <v/>
      </c>
      <c r="D186" s="29" t="str">
        <f>IF(COUNT(VLOOKUP($B186,Food!$B$2:$K$236,10,FALSE)&amp;"")=1,VLOOKUP($B186,Food!$B$2:$K$236,10,FALSE),"")</f>
        <v/>
      </c>
      <c r="E186" s="29" t="str">
        <f>IF(COUNT(VLOOKUP($B186,Housing!$B$2:$L$236,11,FALSE)&amp;"")=1,VLOOKUP($B186,Housing!$B$2:$L$236,11,FALSE),"")</f>
        <v/>
      </c>
      <c r="F186" s="29" t="str">
        <f>IF(COUNT(VLOOKUP($B186,Employment!$B$2:$M$236,12,FALSE)&amp;"")=1,VLOOKUP($B186,Employment!$B$2:$M$236,12,FALSE),"")</f>
        <v/>
      </c>
      <c r="G186" s="29" t="str">
        <f>IF(COUNT(VLOOKUP($B186,Education!$B$2:$L$236,11,FALSE)&amp;"")=1,VLOOKUP($B186,Education!$B$2:$L$236,11,FALSE),"")</f>
        <v/>
      </c>
      <c r="H186" s="29" t="str">
        <f>IF(COUNT(VLOOKUP($B186,Gender!$B$2:$K$236,10,FALSE)&amp;"")=1,VLOOKUP($B186,Gender!$B$2:$K$236,10,FALSE),"")</f>
        <v/>
      </c>
      <c r="I186" s="29" t="str">
        <f>IF(COUNT(VLOOKUP($B186,'Religious Freedom'!$B$2:$K$200,10,FALSE)&amp;"")=1,VLOOKUP($B186,'Religious Freedom'!$B$2:$K$200,10,FALSE),"")</f>
        <v/>
      </c>
    </row>
    <row r="187" ht="14.25" customHeight="1">
      <c r="A187" s="22" t="s">
        <v>365</v>
      </c>
      <c r="B187" s="22" t="s">
        <v>366</v>
      </c>
      <c r="C187" s="29" t="str">
        <f>IF(COUNT(VLOOKUP($B187,Water!$B$2:$L$235,11,FALSE)&amp;"")=1,(VLOOKUP($B187,Water!$B$2:$L$235,11,FALSE)),"")</f>
        <v/>
      </c>
      <c r="D187" s="29" t="str">
        <f>IF(COUNT(VLOOKUP($B187,Food!$B$2:$K$236,10,FALSE)&amp;"")=1,VLOOKUP($B187,Food!$B$2:$K$236,10,FALSE),"")</f>
        <v/>
      </c>
      <c r="E187" s="29" t="str">
        <f>IF(COUNT(VLOOKUP($B187,Housing!$B$2:$L$236,11,FALSE)&amp;"")=1,VLOOKUP($B187,Housing!$B$2:$L$236,11,FALSE),"")</f>
        <v/>
      </c>
      <c r="F187" s="29" t="str">
        <f>IF(COUNT(VLOOKUP($B187,Employment!$B$2:$M$236,12,FALSE)&amp;"")=1,VLOOKUP($B187,Employment!$B$2:$M$236,12,FALSE),"")</f>
        <v/>
      </c>
      <c r="G187" s="29" t="str">
        <f>IF(COUNT(VLOOKUP($B187,Education!$B$2:$L$236,11,FALSE)&amp;"")=1,VLOOKUP($B187,Education!$B$2:$L$236,11,FALSE),"")</f>
        <v/>
      </c>
      <c r="H187" s="29" t="str">
        <f>IF(COUNT(VLOOKUP($B187,Gender!$B$2:$K$236,10,FALSE)&amp;"")=1,VLOOKUP($B187,Gender!$B$2:$K$236,10,FALSE),"")</f>
        <v/>
      </c>
      <c r="I187" s="29" t="str">
        <f>IF(COUNT(VLOOKUP($B187,'Religious Freedom'!$B$2:$K$200,10,FALSE)&amp;"")=1,VLOOKUP($B187,'Religious Freedom'!$B$2:$K$200,10,FALSE),"")</f>
        <v/>
      </c>
    </row>
    <row r="188" ht="14.25" customHeight="1">
      <c r="A188" s="22" t="s">
        <v>367</v>
      </c>
      <c r="B188" s="22" t="s">
        <v>368</v>
      </c>
      <c r="C188" s="29" t="str">
        <f>IF(COUNT(VLOOKUP($B188,Water!$B$2:$L$235,11,FALSE)&amp;"")=1,(VLOOKUP($B188,Water!$B$2:$L$235,11,FALSE)),"")</f>
        <v/>
      </c>
      <c r="D188" s="29" t="str">
        <f>IF(COUNT(VLOOKUP($B188,Food!$B$2:$K$236,10,FALSE)&amp;"")=1,VLOOKUP($B188,Food!$B$2:$K$236,10,FALSE),"")</f>
        <v/>
      </c>
      <c r="E188" s="29" t="str">
        <f>IF(COUNT(VLOOKUP($B188,Housing!$B$2:$L$236,11,FALSE)&amp;"")=1,VLOOKUP($B188,Housing!$B$2:$L$236,11,FALSE),"")</f>
        <v/>
      </c>
      <c r="F188" s="29" t="str">
        <f>IF(COUNT(VLOOKUP($B188,Employment!$B$2:$M$236,12,FALSE)&amp;"")=1,VLOOKUP($B188,Employment!$B$2:$M$236,12,FALSE),"")</f>
        <v/>
      </c>
      <c r="G188" s="29" t="str">
        <f>IF(COUNT(VLOOKUP($B188,Education!$B$2:$L$236,11,FALSE)&amp;"")=1,VLOOKUP($B188,Education!$B$2:$L$236,11,FALSE),"")</f>
        <v/>
      </c>
      <c r="H188" s="29" t="str">
        <f>IF(COUNT(VLOOKUP($B188,Gender!$B$2:$K$236,10,FALSE)&amp;"")=1,VLOOKUP($B188,Gender!$B$2:$K$236,10,FALSE),"")</f>
        <v/>
      </c>
      <c r="I188" s="29" t="str">
        <f>IF(COUNT(VLOOKUP($B188,'Religious Freedom'!$B$2:$K$200,10,FALSE)&amp;"")=1,VLOOKUP($B188,'Religious Freedom'!$B$2:$K$200,10,FALSE),"")</f>
        <v/>
      </c>
    </row>
    <row r="189" ht="14.25" customHeight="1">
      <c r="A189" s="22" t="s">
        <v>369</v>
      </c>
      <c r="B189" s="22" t="s">
        <v>370</v>
      </c>
      <c r="C189" s="29" t="str">
        <f>IF(COUNT(VLOOKUP($B189,Water!$B$2:$L$235,11,FALSE)&amp;"")=1,(VLOOKUP($B189,Water!$B$2:$L$235,11,FALSE)),"")</f>
        <v/>
      </c>
      <c r="D189" s="29" t="str">
        <f>IF(COUNT(VLOOKUP($B189,Food!$B$2:$K$236,10,FALSE)&amp;"")=1,VLOOKUP($B189,Food!$B$2:$K$236,10,FALSE),"")</f>
        <v/>
      </c>
      <c r="E189" s="29" t="str">
        <f>IF(COUNT(VLOOKUP($B189,Housing!$B$2:$L$236,11,FALSE)&amp;"")=1,VLOOKUP($B189,Housing!$B$2:$L$236,11,FALSE),"")</f>
        <v/>
      </c>
      <c r="F189" s="29" t="str">
        <f>IF(COUNT(VLOOKUP($B189,Employment!$B$2:$M$236,12,FALSE)&amp;"")=1,VLOOKUP($B189,Employment!$B$2:$M$236,12,FALSE),"")</f>
        <v/>
      </c>
      <c r="G189" s="29" t="str">
        <f>IF(COUNT(VLOOKUP($B189,Education!$B$2:$L$236,11,FALSE)&amp;"")=1,VLOOKUP($B189,Education!$B$2:$L$236,11,FALSE),"")</f>
        <v/>
      </c>
      <c r="H189" s="29" t="str">
        <f>IF(COUNT(VLOOKUP($B189,Gender!$B$2:$K$236,10,FALSE)&amp;"")=1,VLOOKUP($B189,Gender!$B$2:$K$236,10,FALSE),"")</f>
        <v/>
      </c>
      <c r="I189" s="29" t="str">
        <f>IF(COUNT(VLOOKUP($B189,'Religious Freedom'!$B$2:$K$200,10,FALSE)&amp;"")=1,VLOOKUP($B189,'Religious Freedom'!$B$2:$K$200,10,FALSE),"")</f>
        <v/>
      </c>
    </row>
    <row r="190" ht="14.25" customHeight="1">
      <c r="A190" s="22" t="s">
        <v>371</v>
      </c>
      <c r="B190" s="22" t="s">
        <v>372</v>
      </c>
      <c r="C190" s="29" t="str">
        <f>IF(COUNT(VLOOKUP($B190,Water!$B$2:$L$235,11,FALSE)&amp;"")=1,(VLOOKUP($B190,Water!$B$2:$L$235,11,FALSE)),"")</f>
        <v/>
      </c>
      <c r="D190" s="29" t="str">
        <f>IF(COUNT(VLOOKUP($B190,Food!$B$2:$K$236,10,FALSE)&amp;"")=1,VLOOKUP($B190,Food!$B$2:$K$236,10,FALSE),"")</f>
        <v/>
      </c>
      <c r="E190" s="29" t="str">
        <f>IF(COUNT(VLOOKUP($B190,Housing!$B$2:$L$236,11,FALSE)&amp;"")=1,VLOOKUP($B190,Housing!$B$2:$L$236,11,FALSE),"")</f>
        <v/>
      </c>
      <c r="F190" s="29" t="str">
        <f>IF(COUNT(VLOOKUP($B190,Employment!$B$2:$M$236,12,FALSE)&amp;"")=1,VLOOKUP($B190,Employment!$B$2:$M$236,12,FALSE),"")</f>
        <v/>
      </c>
      <c r="G190" s="29" t="str">
        <f>IF(COUNT(VLOOKUP($B190,Education!$B$2:$L$236,11,FALSE)&amp;"")=1,VLOOKUP($B190,Education!$B$2:$L$236,11,FALSE),"")</f>
        <v/>
      </c>
      <c r="H190" s="29" t="str">
        <f>IF(COUNT(VLOOKUP($B190,Gender!$B$2:$K$236,10,FALSE)&amp;"")=1,VLOOKUP($B190,Gender!$B$2:$K$236,10,FALSE),"")</f>
        <v/>
      </c>
      <c r="I190" s="29" t="str">
        <f>IF(COUNT(VLOOKUP($B190,'Religious Freedom'!$B$2:$K$200,10,FALSE)&amp;"")=1,VLOOKUP($B190,'Religious Freedom'!$B$2:$K$200,10,FALSE),"")</f>
        <v/>
      </c>
    </row>
    <row r="191" ht="14.25" customHeight="1">
      <c r="A191" s="22" t="s">
        <v>373</v>
      </c>
      <c r="B191" s="22" t="s">
        <v>374</v>
      </c>
      <c r="C191" s="29" t="str">
        <f>IF(COUNT(VLOOKUP($B191,Water!$B$2:$L$235,11,FALSE)&amp;"")=1,(VLOOKUP($B191,Water!$B$2:$L$235,11,FALSE)),"")</f>
        <v/>
      </c>
      <c r="D191" s="29" t="str">
        <f>IF(COUNT(VLOOKUP($B191,Food!$B$2:$K$236,10,FALSE)&amp;"")=1,VLOOKUP($B191,Food!$B$2:$K$236,10,FALSE),"")</f>
        <v/>
      </c>
      <c r="E191" s="29" t="str">
        <f>IF(COUNT(VLOOKUP($B191,Housing!$B$2:$L$236,11,FALSE)&amp;"")=1,VLOOKUP($B191,Housing!$B$2:$L$236,11,FALSE),"")</f>
        <v/>
      </c>
      <c r="F191" s="29" t="str">
        <f>IF(COUNT(VLOOKUP($B191,Employment!$B$2:$M$236,12,FALSE)&amp;"")=1,VLOOKUP($B191,Employment!$B$2:$M$236,12,FALSE),"")</f>
        <v/>
      </c>
      <c r="G191" s="29" t="str">
        <f>IF(COUNT(VLOOKUP($B191,Education!$B$2:$L$236,11,FALSE)&amp;"")=1,VLOOKUP($B191,Education!$B$2:$L$236,11,FALSE),"")</f>
        <v/>
      </c>
      <c r="H191" s="29" t="str">
        <f>IF(COUNT(VLOOKUP($B191,Gender!$B$2:$K$236,10,FALSE)&amp;"")=1,VLOOKUP($B191,Gender!$B$2:$K$236,10,FALSE),"")</f>
        <v/>
      </c>
      <c r="I191" s="29" t="str">
        <f>IF(COUNT(VLOOKUP($B191,'Religious Freedom'!$B$2:$K$200,10,FALSE)&amp;"")=1,VLOOKUP($B191,'Religious Freedom'!$B$2:$K$200,10,FALSE),"")</f>
        <v/>
      </c>
    </row>
    <row r="192" ht="14.25" customHeight="1">
      <c r="A192" s="22" t="s">
        <v>375</v>
      </c>
      <c r="B192" s="22" t="s">
        <v>376</v>
      </c>
      <c r="C192" s="29" t="str">
        <f>IF(COUNT(VLOOKUP($B192,Water!$B$2:$L$235,11,FALSE)&amp;"")=1,(VLOOKUP($B192,Water!$B$2:$L$235,11,FALSE)),"")</f>
        <v/>
      </c>
      <c r="D192" s="29" t="str">
        <f>IF(COUNT(VLOOKUP($B192,Food!$B$2:$K$236,10,FALSE)&amp;"")=1,VLOOKUP($B192,Food!$B$2:$K$236,10,FALSE),"")</f>
        <v/>
      </c>
      <c r="E192" s="29" t="str">
        <f>IF(COUNT(VLOOKUP($B192,Housing!$B$2:$L$236,11,FALSE)&amp;"")=1,VLOOKUP($B192,Housing!$B$2:$L$236,11,FALSE),"")</f>
        <v/>
      </c>
      <c r="F192" s="29" t="str">
        <f>IF(COUNT(VLOOKUP($B192,Employment!$B$2:$M$236,12,FALSE)&amp;"")=1,VLOOKUP($B192,Employment!$B$2:$M$236,12,FALSE),"")</f>
        <v/>
      </c>
      <c r="G192" s="29" t="str">
        <f>IF(COUNT(VLOOKUP($B192,Education!$B$2:$L$236,11,FALSE)&amp;"")=1,VLOOKUP($B192,Education!$B$2:$L$236,11,FALSE),"")</f>
        <v/>
      </c>
      <c r="H192" s="29" t="str">
        <f>IF(COUNT(VLOOKUP($B192,Gender!$B$2:$K$236,10,FALSE)&amp;"")=1,VLOOKUP($B192,Gender!$B$2:$K$236,10,FALSE),"")</f>
        <v/>
      </c>
      <c r="I192" s="29" t="str">
        <f>IF(COUNT(VLOOKUP($B192,'Religious Freedom'!$B$2:$K$200,10,FALSE)&amp;"")=1,VLOOKUP($B192,'Religious Freedom'!$B$2:$K$200,10,FALSE),"")</f>
        <v/>
      </c>
    </row>
    <row r="193" ht="14.25" customHeight="1">
      <c r="A193" s="22" t="s">
        <v>377</v>
      </c>
      <c r="B193" s="22" t="s">
        <v>378</v>
      </c>
      <c r="C193" s="29" t="str">
        <f>IF(COUNT(VLOOKUP($B193,Water!$B$2:$L$235,11,FALSE)&amp;"")=1,(VLOOKUP($B193,Water!$B$2:$L$235,11,FALSE)),"")</f>
        <v/>
      </c>
      <c r="D193" s="29" t="str">
        <f>IF(COUNT(VLOOKUP($B193,Food!$B$2:$K$236,10,FALSE)&amp;"")=1,VLOOKUP($B193,Food!$B$2:$K$236,10,FALSE),"")</f>
        <v/>
      </c>
      <c r="E193" s="29" t="str">
        <f>IF(COUNT(VLOOKUP($B193,Housing!$B$2:$L$236,11,FALSE)&amp;"")=1,VLOOKUP($B193,Housing!$B$2:$L$236,11,FALSE),"")</f>
        <v/>
      </c>
      <c r="F193" s="29" t="str">
        <f>IF(COUNT(VLOOKUP($B193,Employment!$B$2:$M$236,12,FALSE)&amp;"")=1,VLOOKUP($B193,Employment!$B$2:$M$236,12,FALSE),"")</f>
        <v/>
      </c>
      <c r="G193" s="29" t="str">
        <f>IF(COUNT(VLOOKUP($B193,Education!$B$2:$L$236,11,FALSE)&amp;"")=1,VLOOKUP($B193,Education!$B$2:$L$236,11,FALSE),"")</f>
        <v/>
      </c>
      <c r="H193" s="29" t="str">
        <f>IF(COUNT(VLOOKUP($B193,Gender!$B$2:$K$236,10,FALSE)&amp;"")=1,VLOOKUP($B193,Gender!$B$2:$K$236,10,FALSE),"")</f>
        <v/>
      </c>
      <c r="I193" s="29" t="str">
        <f>IF(COUNT(VLOOKUP($B193,'Religious Freedom'!$B$2:$K$200,10,FALSE)&amp;"")=1,VLOOKUP($B193,'Religious Freedom'!$B$2:$K$200,10,FALSE),"")</f>
        <v/>
      </c>
    </row>
    <row r="194" ht="14.25" customHeight="1">
      <c r="A194" s="22" t="s">
        <v>379</v>
      </c>
      <c r="B194" s="22" t="s">
        <v>380</v>
      </c>
      <c r="C194" s="29" t="str">
        <f>IF(COUNT(VLOOKUP($B194,Water!$B$2:$L$235,11,FALSE)&amp;"")=1,(VLOOKUP($B194,Water!$B$2:$L$235,11,FALSE)),"")</f>
        <v/>
      </c>
      <c r="D194" s="29" t="str">
        <f>IF(COUNT(VLOOKUP($B194,Food!$B$2:$K$236,10,FALSE)&amp;"")=1,VLOOKUP($B194,Food!$B$2:$K$236,10,FALSE),"")</f>
        <v/>
      </c>
      <c r="E194" s="29" t="str">
        <f>IF(COUNT(VLOOKUP($B194,Housing!$B$2:$L$236,11,FALSE)&amp;"")=1,VLOOKUP($B194,Housing!$B$2:$L$236,11,FALSE),"")</f>
        <v/>
      </c>
      <c r="F194" s="29" t="str">
        <f>IF(COUNT(VLOOKUP($B194,Employment!$B$2:$M$236,12,FALSE)&amp;"")=1,VLOOKUP($B194,Employment!$B$2:$M$236,12,FALSE),"")</f>
        <v/>
      </c>
      <c r="G194" s="29" t="str">
        <f>IF(COUNT(VLOOKUP($B194,Education!$B$2:$L$236,11,FALSE)&amp;"")=1,VLOOKUP($B194,Education!$B$2:$L$236,11,FALSE),"")</f>
        <v/>
      </c>
      <c r="H194" s="29" t="str">
        <f>IF(COUNT(VLOOKUP($B194,Gender!$B$2:$K$236,10,FALSE)&amp;"")=1,VLOOKUP($B194,Gender!$B$2:$K$236,10,FALSE),"")</f>
        <v/>
      </c>
      <c r="I194" s="29" t="str">
        <f>IF(COUNT(VLOOKUP($B194,'Religious Freedom'!$B$2:$K$200,10,FALSE)&amp;"")=1,VLOOKUP($B194,'Religious Freedom'!$B$2:$K$200,10,FALSE),"")</f>
        <v/>
      </c>
    </row>
    <row r="195" ht="14.25" customHeight="1">
      <c r="A195" s="22" t="s">
        <v>381</v>
      </c>
      <c r="B195" s="22" t="s">
        <v>382</v>
      </c>
      <c r="C195" s="29" t="str">
        <f>IF(COUNT(VLOOKUP($B195,Water!$B$2:$L$235,11,FALSE)&amp;"")=1,(VLOOKUP($B195,Water!$B$2:$L$235,11,FALSE)),"")</f>
        <v/>
      </c>
      <c r="D195" s="29" t="str">
        <f>IF(COUNT(VLOOKUP($B195,Food!$B$2:$K$236,10,FALSE)&amp;"")=1,VLOOKUP($B195,Food!$B$2:$K$236,10,FALSE),"")</f>
        <v/>
      </c>
      <c r="E195" s="29" t="str">
        <f>IF(COUNT(VLOOKUP($B195,Housing!$B$2:$L$236,11,FALSE)&amp;"")=1,VLOOKUP($B195,Housing!$B$2:$L$236,11,FALSE),"")</f>
        <v/>
      </c>
      <c r="F195" s="29" t="str">
        <f>IF(COUNT(VLOOKUP($B195,Employment!$B$2:$M$236,12,FALSE)&amp;"")=1,VLOOKUP($B195,Employment!$B$2:$M$236,12,FALSE),"")</f>
        <v/>
      </c>
      <c r="G195" s="29" t="str">
        <f>IF(COUNT(VLOOKUP($B195,Education!$B$2:$L$236,11,FALSE)&amp;"")=1,VLOOKUP($B195,Education!$B$2:$L$236,11,FALSE),"")</f>
        <v/>
      </c>
      <c r="H195" s="29" t="str">
        <f>IF(COUNT(VLOOKUP($B195,Gender!$B$2:$K$236,10,FALSE)&amp;"")=1,VLOOKUP($B195,Gender!$B$2:$K$236,10,FALSE),"")</f>
        <v/>
      </c>
      <c r="I195" s="29" t="str">
        <f>IF(COUNT(VLOOKUP($B195,'Religious Freedom'!$B$2:$K$200,10,FALSE)&amp;"")=1,VLOOKUP($B195,'Religious Freedom'!$B$2:$K$200,10,FALSE),"")</f>
        <v/>
      </c>
    </row>
    <row r="196" ht="14.25" customHeight="1">
      <c r="A196" s="22" t="s">
        <v>383</v>
      </c>
      <c r="B196" s="22" t="s">
        <v>384</v>
      </c>
      <c r="C196" s="29" t="str">
        <f>IF(COUNT(VLOOKUP($B196,Water!$B$2:$L$235,11,FALSE)&amp;"")=1,(VLOOKUP($B196,Water!$B$2:$L$235,11,FALSE)),"")</f>
        <v/>
      </c>
      <c r="D196" s="29" t="str">
        <f>IF(COUNT(VLOOKUP($B196,Food!$B$2:$K$236,10,FALSE)&amp;"")=1,VLOOKUP($B196,Food!$B$2:$K$236,10,FALSE),"")</f>
        <v/>
      </c>
      <c r="E196" s="29" t="str">
        <f>IF(COUNT(VLOOKUP($B196,Housing!$B$2:$L$236,11,FALSE)&amp;"")=1,VLOOKUP($B196,Housing!$B$2:$L$236,11,FALSE),"")</f>
        <v/>
      </c>
      <c r="F196" s="29" t="str">
        <f>IF(COUNT(VLOOKUP($B196,Employment!$B$2:$M$236,12,FALSE)&amp;"")=1,VLOOKUP($B196,Employment!$B$2:$M$236,12,FALSE),"")</f>
        <v/>
      </c>
      <c r="G196" s="29" t="str">
        <f>IF(COUNT(VLOOKUP($B196,Education!$B$2:$L$236,11,FALSE)&amp;"")=1,VLOOKUP($B196,Education!$B$2:$L$236,11,FALSE),"")</f>
        <v/>
      </c>
      <c r="H196" s="29" t="str">
        <f>IF(COUNT(VLOOKUP($B196,Gender!$B$2:$K$236,10,FALSE)&amp;"")=1,VLOOKUP($B196,Gender!$B$2:$K$236,10,FALSE),"")</f>
        <v/>
      </c>
      <c r="I196" s="29" t="str">
        <f>IF(COUNT(VLOOKUP($B196,'Religious Freedom'!$B$2:$K$200,10,FALSE)&amp;"")=1,VLOOKUP($B196,'Religious Freedom'!$B$2:$K$200,10,FALSE),"")</f>
        <v/>
      </c>
    </row>
    <row r="197" ht="14.25" customHeight="1">
      <c r="A197" s="22" t="s">
        <v>385</v>
      </c>
      <c r="B197" s="22" t="s">
        <v>386</v>
      </c>
      <c r="C197" s="29" t="str">
        <f>IF(COUNT(VLOOKUP($B197,Water!$B$2:$L$235,11,FALSE)&amp;"")=1,(VLOOKUP($B197,Water!$B$2:$L$235,11,FALSE)),"")</f>
        <v/>
      </c>
      <c r="D197" s="29" t="str">
        <f>IF(COUNT(VLOOKUP($B197,Food!$B$2:$K$236,10,FALSE)&amp;"")=1,VLOOKUP($B197,Food!$B$2:$K$236,10,FALSE),"")</f>
        <v/>
      </c>
      <c r="E197" s="29" t="str">
        <f>IF(COUNT(VLOOKUP($B197,Housing!$B$2:$L$236,11,FALSE)&amp;"")=1,VLOOKUP($B197,Housing!$B$2:$L$236,11,FALSE),"")</f>
        <v/>
      </c>
      <c r="F197" s="29" t="str">
        <f>IF(COUNT(VLOOKUP($B197,Employment!$B$2:$M$236,12,FALSE)&amp;"")=1,VLOOKUP($B197,Employment!$B$2:$M$236,12,FALSE),"")</f>
        <v/>
      </c>
      <c r="G197" s="29" t="str">
        <f>IF(COUNT(VLOOKUP($B197,Education!$B$2:$L$236,11,FALSE)&amp;"")=1,VLOOKUP($B197,Education!$B$2:$L$236,11,FALSE),"")</f>
        <v/>
      </c>
      <c r="H197" s="29" t="str">
        <f>IF(COUNT(VLOOKUP($B197,Gender!$B$2:$K$236,10,FALSE)&amp;"")=1,VLOOKUP($B197,Gender!$B$2:$K$236,10,FALSE),"")</f>
        <v/>
      </c>
      <c r="I197" s="29" t="str">
        <f>IF(COUNT(VLOOKUP($B197,'Religious Freedom'!$B$2:$K$200,10,FALSE)&amp;"")=1,VLOOKUP($B197,'Religious Freedom'!$B$2:$K$200,10,FALSE),"")</f>
        <v/>
      </c>
    </row>
    <row r="198" ht="14.25" customHeight="1">
      <c r="A198" s="22" t="s">
        <v>387</v>
      </c>
      <c r="B198" s="22" t="s">
        <v>388</v>
      </c>
      <c r="C198" s="29" t="str">
        <f>IF(COUNT(VLOOKUP($B198,Water!$B$2:$L$235,11,FALSE)&amp;"")=1,(VLOOKUP($B198,Water!$B$2:$L$235,11,FALSE)),"")</f>
        <v/>
      </c>
      <c r="D198" s="29" t="str">
        <f>IF(COUNT(VLOOKUP($B198,Food!$B$2:$K$236,10,FALSE)&amp;"")=1,VLOOKUP($B198,Food!$B$2:$K$236,10,FALSE),"")</f>
        <v/>
      </c>
      <c r="E198" s="29" t="str">
        <f>IF(COUNT(VLOOKUP($B198,Housing!$B$2:$L$236,11,FALSE)&amp;"")=1,VLOOKUP($B198,Housing!$B$2:$L$236,11,FALSE),"")</f>
        <v/>
      </c>
      <c r="F198" s="29" t="str">
        <f>IF(COUNT(VLOOKUP($B198,Employment!$B$2:$M$236,12,FALSE)&amp;"")=1,VLOOKUP($B198,Employment!$B$2:$M$236,12,FALSE),"")</f>
        <v/>
      </c>
      <c r="G198" s="29" t="str">
        <f>IF(COUNT(VLOOKUP($B198,Education!$B$2:$L$236,11,FALSE)&amp;"")=1,VLOOKUP($B198,Education!$B$2:$L$236,11,FALSE),"")</f>
        <v/>
      </c>
      <c r="H198" s="29" t="str">
        <f>IF(COUNT(VLOOKUP($B198,Gender!$B$2:$K$236,10,FALSE)&amp;"")=1,VLOOKUP($B198,Gender!$B$2:$K$236,10,FALSE),"")</f>
        <v/>
      </c>
      <c r="I198" s="29" t="str">
        <f>IF(COUNT(VLOOKUP($B198,'Religious Freedom'!$B$2:$K$200,10,FALSE)&amp;"")=1,VLOOKUP($B198,'Religious Freedom'!$B$2:$K$200,10,FALSE),"")</f>
        <v/>
      </c>
    </row>
    <row r="199" ht="14.25" customHeight="1">
      <c r="A199" s="22" t="s">
        <v>389</v>
      </c>
      <c r="B199" s="22" t="s">
        <v>390</v>
      </c>
      <c r="C199" s="29" t="str">
        <f>IF(COUNT(VLOOKUP($B199,Water!$B$2:$L$235,11,FALSE)&amp;"")=1,(VLOOKUP($B199,Water!$B$2:$L$235,11,FALSE)),"")</f>
        <v/>
      </c>
      <c r="D199" s="29" t="str">
        <f>IF(COUNT(VLOOKUP($B199,Food!$B$2:$K$236,10,FALSE)&amp;"")=1,VLOOKUP($B199,Food!$B$2:$K$236,10,FALSE),"")</f>
        <v/>
      </c>
      <c r="E199" s="29" t="str">
        <f>IF(COUNT(VLOOKUP($B199,Housing!$B$2:$L$236,11,FALSE)&amp;"")=1,VLOOKUP($B199,Housing!$B$2:$L$236,11,FALSE),"")</f>
        <v/>
      </c>
      <c r="F199" s="29" t="str">
        <f>IF(COUNT(VLOOKUP($B199,Employment!$B$2:$M$236,12,FALSE)&amp;"")=1,VLOOKUP($B199,Employment!$B$2:$M$236,12,FALSE),"")</f>
        <v/>
      </c>
      <c r="G199" s="29" t="str">
        <f>IF(COUNT(VLOOKUP($B199,Education!$B$2:$L$236,11,FALSE)&amp;"")=1,VLOOKUP($B199,Education!$B$2:$L$236,11,FALSE),"")</f>
        <v/>
      </c>
      <c r="H199" s="29" t="str">
        <f>IF(COUNT(VLOOKUP($B199,Gender!$B$2:$K$236,10,FALSE)&amp;"")=1,VLOOKUP($B199,Gender!$B$2:$K$236,10,FALSE),"")</f>
        <v/>
      </c>
      <c r="I199" s="29" t="str">
        <f>IF(COUNT(VLOOKUP($B199,'Religious Freedom'!$B$2:$K$200,10,FALSE)&amp;"")=1,VLOOKUP($B199,'Religious Freedom'!$B$2:$K$200,10,FALSE),"")</f>
        <v/>
      </c>
    </row>
    <row r="200" ht="14.25" customHeight="1">
      <c r="A200" s="22" t="s">
        <v>391</v>
      </c>
      <c r="B200" s="22" t="s">
        <v>392</v>
      </c>
      <c r="C200" s="29" t="str">
        <f>IF(COUNT(VLOOKUP($B200,Water!$B$2:$L$235,11,FALSE)&amp;"")=1,(VLOOKUP($B200,Water!$B$2:$L$235,11,FALSE)),"")</f>
        <v/>
      </c>
      <c r="D200" s="29" t="str">
        <f>IF(COUNT(VLOOKUP($B200,Food!$B$2:$K$236,10,FALSE)&amp;"")=1,VLOOKUP($B200,Food!$B$2:$K$236,10,FALSE),"")</f>
        <v/>
      </c>
      <c r="E200" s="29" t="str">
        <f>IF(COUNT(VLOOKUP($B200,Housing!$B$2:$L$236,11,FALSE)&amp;"")=1,VLOOKUP($B200,Housing!$B$2:$L$236,11,FALSE),"")</f>
        <v/>
      </c>
      <c r="F200" s="29" t="str">
        <f>IF(COUNT(VLOOKUP($B200,Employment!$B$2:$M$236,12,FALSE)&amp;"")=1,VLOOKUP($B200,Employment!$B$2:$M$236,12,FALSE),"")</f>
        <v/>
      </c>
      <c r="G200" s="29" t="str">
        <f>IF(COUNT(VLOOKUP($B200,Education!$B$2:$L$236,11,FALSE)&amp;"")=1,VLOOKUP($B200,Education!$B$2:$L$236,11,FALSE),"")</f>
        <v/>
      </c>
      <c r="H200" s="29" t="str">
        <f>IF(COUNT(VLOOKUP($B200,Gender!$B$2:$K$236,10,FALSE)&amp;"")=1,VLOOKUP($B200,Gender!$B$2:$K$236,10,FALSE),"")</f>
        <v/>
      </c>
      <c r="I200" s="29" t="str">
        <f>IF(COUNT(VLOOKUP($B200,'Religious Freedom'!$B$2:$K$200,10,FALSE)&amp;"")=1,VLOOKUP($B200,'Religious Freedom'!$B$2:$K$200,10,FALSE),"")</f>
        <v/>
      </c>
    </row>
    <row r="201" ht="14.25" customHeight="1">
      <c r="A201" s="22" t="s">
        <v>393</v>
      </c>
      <c r="B201" s="22" t="s">
        <v>394</v>
      </c>
      <c r="C201" s="29" t="str">
        <f>IF(COUNT(VLOOKUP($B201,Water!$B$2:$L$235,11,FALSE)&amp;"")=1,(VLOOKUP($B201,Water!$B$2:$L$235,11,FALSE)),"")</f>
        <v/>
      </c>
      <c r="D201" s="29" t="str">
        <f>IF(COUNT(VLOOKUP($B201,Food!$B$2:$K$236,10,FALSE)&amp;"")=1,VLOOKUP($B201,Food!$B$2:$K$236,10,FALSE),"")</f>
        <v/>
      </c>
      <c r="E201" s="29" t="str">
        <f>IF(COUNT(VLOOKUP($B201,Housing!$B$2:$L$236,11,FALSE)&amp;"")=1,VLOOKUP($B201,Housing!$B$2:$L$236,11,FALSE),"")</f>
        <v/>
      </c>
      <c r="F201" s="29" t="str">
        <f>IF(COUNT(VLOOKUP($B201,Employment!$B$2:$M$236,12,FALSE)&amp;"")=1,VLOOKUP($B201,Employment!$B$2:$M$236,12,FALSE),"")</f>
        <v/>
      </c>
      <c r="G201" s="29" t="str">
        <f>IF(COUNT(VLOOKUP($B201,Education!$B$2:$L$236,11,FALSE)&amp;"")=1,VLOOKUP($B201,Education!$B$2:$L$236,11,FALSE),"")</f>
        <v/>
      </c>
      <c r="H201" s="29" t="str">
        <f>IF(COUNT(VLOOKUP($B201,Gender!$B$2:$K$236,10,FALSE)&amp;"")=1,VLOOKUP($B201,Gender!$B$2:$K$236,10,FALSE),"")</f>
        <v/>
      </c>
      <c r="I201" s="29" t="str">
        <f>IF(COUNT(VLOOKUP($B201,'Religious Freedom'!$B$2:$K$200,10,FALSE)&amp;"")=1,VLOOKUP($B201,'Religious Freedom'!$B$2:$K$200,10,FALSE),"")</f>
        <v/>
      </c>
    </row>
    <row r="202" ht="14.25" customHeight="1">
      <c r="A202" s="22" t="s">
        <v>395</v>
      </c>
      <c r="B202" s="22" t="s">
        <v>396</v>
      </c>
      <c r="C202" s="29" t="str">
        <f>IF(COUNT(VLOOKUP($B202,Water!$B$2:$L$235,11,FALSE)&amp;"")=1,(VLOOKUP($B202,Water!$B$2:$L$235,11,FALSE)),"")</f>
        <v/>
      </c>
      <c r="D202" s="29" t="str">
        <f>IF(COUNT(VLOOKUP($B202,Food!$B$2:$K$236,10,FALSE)&amp;"")=1,VLOOKUP($B202,Food!$B$2:$K$236,10,FALSE),"")</f>
        <v/>
      </c>
      <c r="E202" s="29" t="str">
        <f>IF(COUNT(VLOOKUP($B202,Housing!$B$2:$L$236,11,FALSE)&amp;"")=1,VLOOKUP($B202,Housing!$B$2:$L$236,11,FALSE),"")</f>
        <v/>
      </c>
      <c r="F202" s="29" t="str">
        <f>IF(COUNT(VLOOKUP($B202,Employment!$B$2:$M$236,12,FALSE)&amp;"")=1,VLOOKUP($B202,Employment!$B$2:$M$236,12,FALSE),"")</f>
        <v/>
      </c>
      <c r="G202" s="29" t="str">
        <f>IF(COUNT(VLOOKUP($B202,Education!$B$2:$L$236,11,FALSE)&amp;"")=1,VLOOKUP($B202,Education!$B$2:$L$236,11,FALSE),"")</f>
        <v/>
      </c>
      <c r="H202" s="29" t="str">
        <f>IF(COUNT(VLOOKUP($B202,Gender!$B$2:$K$236,10,FALSE)&amp;"")=1,VLOOKUP($B202,Gender!$B$2:$K$236,10,FALSE),"")</f>
        <v/>
      </c>
      <c r="I202" s="29" t="str">
        <f>IF(COUNT(VLOOKUP($B202,'Religious Freedom'!$B$2:$K$200,10,FALSE)&amp;"")=1,VLOOKUP($B202,'Religious Freedom'!$B$2:$K$200,10,FALSE),"")</f>
        <v/>
      </c>
    </row>
    <row r="203" ht="14.25" customHeight="1">
      <c r="A203" s="22" t="s">
        <v>397</v>
      </c>
      <c r="B203" s="22" t="s">
        <v>398</v>
      </c>
      <c r="C203" s="29" t="str">
        <f>IF(COUNT(VLOOKUP($B203,Water!$B$2:$L$235,11,FALSE)&amp;"")=1,(VLOOKUP($B203,Water!$B$2:$L$235,11,FALSE)),"")</f>
        <v/>
      </c>
      <c r="D203" s="29" t="str">
        <f>IF(COUNT(VLOOKUP($B203,Food!$B$2:$K$236,10,FALSE)&amp;"")=1,VLOOKUP($B203,Food!$B$2:$K$236,10,FALSE),"")</f>
        <v/>
      </c>
      <c r="E203" s="29" t="str">
        <f>IF(COUNT(VLOOKUP($B203,Housing!$B$2:$L$236,11,FALSE)&amp;"")=1,VLOOKUP($B203,Housing!$B$2:$L$236,11,FALSE),"")</f>
        <v/>
      </c>
      <c r="F203" s="29" t="str">
        <f>IF(COUNT(VLOOKUP($B203,Employment!$B$2:$M$236,12,FALSE)&amp;"")=1,VLOOKUP($B203,Employment!$B$2:$M$236,12,FALSE),"")</f>
        <v/>
      </c>
      <c r="G203" s="29" t="str">
        <f>IF(COUNT(VLOOKUP($B203,Education!$B$2:$L$236,11,FALSE)&amp;"")=1,VLOOKUP($B203,Education!$B$2:$L$236,11,FALSE),"")</f>
        <v/>
      </c>
      <c r="H203" s="29" t="str">
        <f>IF(COUNT(VLOOKUP($B203,Gender!$B$2:$K$236,10,FALSE)&amp;"")=1,VLOOKUP($B203,Gender!$B$2:$K$236,10,FALSE),"")</f>
        <v/>
      </c>
      <c r="I203" s="29" t="str">
        <f>IF(COUNT(VLOOKUP($B203,'Religious Freedom'!$B$2:$K$200,10,FALSE)&amp;"")=1,VLOOKUP($B203,'Religious Freedom'!$B$2:$K$200,10,FALSE),"")</f>
        <v/>
      </c>
    </row>
    <row r="204" ht="14.25" customHeight="1">
      <c r="A204" s="22" t="s">
        <v>399</v>
      </c>
      <c r="B204" s="22" t="s">
        <v>400</v>
      </c>
      <c r="C204" s="29" t="str">
        <f>IF(COUNT(VLOOKUP($B204,Water!$B$2:$L$235,11,FALSE)&amp;"")=1,(VLOOKUP($B204,Water!$B$2:$L$235,11,FALSE)),"")</f>
        <v/>
      </c>
      <c r="D204" s="29" t="str">
        <f>IF(COUNT(VLOOKUP($B204,Food!$B$2:$K$236,10,FALSE)&amp;"")=1,VLOOKUP($B204,Food!$B$2:$K$236,10,FALSE),"")</f>
        <v/>
      </c>
      <c r="E204" s="29" t="str">
        <f>IF(COUNT(VLOOKUP($B204,Housing!$B$2:$L$236,11,FALSE)&amp;"")=1,VLOOKUP($B204,Housing!$B$2:$L$236,11,FALSE),"")</f>
        <v/>
      </c>
      <c r="F204" s="29" t="str">
        <f>IF(COUNT(VLOOKUP($B204,Employment!$B$2:$M$236,12,FALSE)&amp;"")=1,VLOOKUP($B204,Employment!$B$2:$M$236,12,FALSE),"")</f>
        <v/>
      </c>
      <c r="G204" s="29" t="str">
        <f>IF(COUNT(VLOOKUP($B204,Education!$B$2:$L$236,11,FALSE)&amp;"")=1,VLOOKUP($B204,Education!$B$2:$L$236,11,FALSE),"")</f>
        <v/>
      </c>
      <c r="H204" s="29" t="str">
        <f>IF(COUNT(VLOOKUP($B204,Gender!$B$2:$K$236,10,FALSE)&amp;"")=1,VLOOKUP($B204,Gender!$B$2:$K$236,10,FALSE),"")</f>
        <v/>
      </c>
      <c r="I204" s="29" t="str">
        <f>IF(COUNT(VLOOKUP($B204,'Religious Freedom'!$B$2:$K$200,10,FALSE)&amp;"")=1,VLOOKUP($B204,'Religious Freedom'!$B$2:$K$200,10,FALSE),"")</f>
        <v/>
      </c>
    </row>
    <row r="205" ht="14.25" customHeight="1">
      <c r="A205" s="22" t="s">
        <v>401</v>
      </c>
      <c r="B205" s="22" t="s">
        <v>402</v>
      </c>
      <c r="C205" s="29" t="str">
        <f>IF(COUNT(VLOOKUP($B205,Water!$B$2:$L$235,11,FALSE)&amp;"")=1,(VLOOKUP($B205,Water!$B$2:$L$235,11,FALSE)),"")</f>
        <v/>
      </c>
      <c r="D205" s="29" t="str">
        <f>IF(COUNT(VLOOKUP($B205,Food!$B$2:$K$236,10,FALSE)&amp;"")=1,VLOOKUP($B205,Food!$B$2:$K$236,10,FALSE),"")</f>
        <v/>
      </c>
      <c r="E205" s="29" t="str">
        <f>IF(COUNT(VLOOKUP($B205,Housing!$B$2:$L$236,11,FALSE)&amp;"")=1,VLOOKUP($B205,Housing!$B$2:$L$236,11,FALSE),"")</f>
        <v/>
      </c>
      <c r="F205" s="29" t="str">
        <f>IF(COUNT(VLOOKUP($B205,Employment!$B$2:$M$236,12,FALSE)&amp;"")=1,VLOOKUP($B205,Employment!$B$2:$M$236,12,FALSE),"")</f>
        <v/>
      </c>
      <c r="G205" s="29" t="str">
        <f>IF(COUNT(VLOOKUP($B205,Education!$B$2:$L$236,11,FALSE)&amp;"")=1,VLOOKUP($B205,Education!$B$2:$L$236,11,FALSE),"")</f>
        <v/>
      </c>
      <c r="H205" s="29" t="str">
        <f>IF(COUNT(VLOOKUP($B205,Gender!$B$2:$K$236,10,FALSE)&amp;"")=1,VLOOKUP($B205,Gender!$B$2:$K$236,10,FALSE),"")</f>
        <v/>
      </c>
      <c r="I205" s="29" t="str">
        <f>IF(COUNT(VLOOKUP($B205,'Religious Freedom'!$B$2:$K$200,10,FALSE)&amp;"")=1,VLOOKUP($B205,'Religious Freedom'!$B$2:$K$200,10,FALSE),"")</f>
        <v/>
      </c>
    </row>
    <row r="206" ht="14.25" customHeight="1">
      <c r="A206" s="22" t="s">
        <v>403</v>
      </c>
      <c r="B206" s="22" t="s">
        <v>404</v>
      </c>
      <c r="C206" s="29" t="str">
        <f>IF(COUNT(VLOOKUP($B206,Water!$B$2:$L$235,11,FALSE)&amp;"")=1,(VLOOKUP($B206,Water!$B$2:$L$235,11,FALSE)),"")</f>
        <v/>
      </c>
      <c r="D206" s="29" t="str">
        <f>IF(COUNT(VLOOKUP($B206,Food!$B$2:$K$236,10,FALSE)&amp;"")=1,VLOOKUP($B206,Food!$B$2:$K$236,10,FALSE),"")</f>
        <v/>
      </c>
      <c r="E206" s="29" t="str">
        <f>IF(COUNT(VLOOKUP($B206,Housing!$B$2:$L$236,11,FALSE)&amp;"")=1,VLOOKUP($B206,Housing!$B$2:$L$236,11,FALSE),"")</f>
        <v/>
      </c>
      <c r="F206" s="29" t="str">
        <f>IF(COUNT(VLOOKUP($B206,Employment!$B$2:$M$236,12,FALSE)&amp;"")=1,VLOOKUP($B206,Employment!$B$2:$M$236,12,FALSE),"")</f>
        <v/>
      </c>
      <c r="G206" s="29" t="str">
        <f>IF(COUNT(VLOOKUP($B206,Education!$B$2:$L$236,11,FALSE)&amp;"")=1,VLOOKUP($B206,Education!$B$2:$L$236,11,FALSE),"")</f>
        <v/>
      </c>
      <c r="H206" s="29" t="str">
        <f>IF(COUNT(VLOOKUP($B206,Gender!$B$2:$K$236,10,FALSE)&amp;"")=1,VLOOKUP($B206,Gender!$B$2:$K$236,10,FALSE),"")</f>
        <v/>
      </c>
      <c r="I206" s="29" t="str">
        <f>IF(COUNT(VLOOKUP($B206,'Religious Freedom'!$B$2:$K$200,10,FALSE)&amp;"")=1,VLOOKUP($B206,'Religious Freedom'!$B$2:$K$200,10,FALSE),"")</f>
        <v/>
      </c>
    </row>
    <row r="207" ht="14.25" customHeight="1">
      <c r="A207" s="22" t="s">
        <v>405</v>
      </c>
      <c r="B207" s="22" t="s">
        <v>406</v>
      </c>
      <c r="C207" s="29" t="str">
        <f>IF(COUNT(VLOOKUP($B207,Water!$B$2:$L$235,11,FALSE)&amp;"")=1,(VLOOKUP($B207,Water!$B$2:$L$235,11,FALSE)),"")</f>
        <v/>
      </c>
      <c r="D207" s="29" t="str">
        <f>IF(COUNT(VLOOKUP($B207,Food!$B$2:$K$236,10,FALSE)&amp;"")=1,VLOOKUP($B207,Food!$B$2:$K$236,10,FALSE),"")</f>
        <v/>
      </c>
      <c r="E207" s="29" t="str">
        <f>IF(COUNT(VLOOKUP($B207,Housing!$B$2:$L$236,11,FALSE)&amp;"")=1,VLOOKUP($B207,Housing!$B$2:$L$236,11,FALSE),"")</f>
        <v/>
      </c>
      <c r="F207" s="29" t="str">
        <f>IF(COUNT(VLOOKUP($B207,Employment!$B$2:$M$236,12,FALSE)&amp;"")=1,VLOOKUP($B207,Employment!$B$2:$M$236,12,FALSE),"")</f>
        <v/>
      </c>
      <c r="G207" s="29" t="str">
        <f>IF(COUNT(VLOOKUP($B207,Education!$B$2:$L$236,11,FALSE)&amp;"")=1,VLOOKUP($B207,Education!$B$2:$L$236,11,FALSE),"")</f>
        <v/>
      </c>
      <c r="H207" s="29" t="str">
        <f>IF(COUNT(VLOOKUP($B207,Gender!$B$2:$K$236,10,FALSE)&amp;"")=1,VLOOKUP($B207,Gender!$B$2:$K$236,10,FALSE),"")</f>
        <v/>
      </c>
      <c r="I207" s="29" t="str">
        <f>IF(COUNT(VLOOKUP($B207,'Religious Freedom'!$B$2:$K$200,10,FALSE)&amp;"")=1,VLOOKUP($B207,'Religious Freedom'!$B$2:$K$200,10,FALSE),"")</f>
        <v/>
      </c>
    </row>
    <row r="208" ht="14.25" customHeight="1">
      <c r="A208" s="22" t="s">
        <v>407</v>
      </c>
      <c r="B208" s="22" t="s">
        <v>408</v>
      </c>
      <c r="C208" s="29" t="str">
        <f>IF(COUNT(VLOOKUP($B208,Water!$B$2:$L$235,11,FALSE)&amp;"")=1,(VLOOKUP($B208,Water!$B$2:$L$235,11,FALSE)),"")</f>
        <v/>
      </c>
      <c r="D208" s="29" t="str">
        <f>IF(COUNT(VLOOKUP($B208,Food!$B$2:$K$236,10,FALSE)&amp;"")=1,VLOOKUP($B208,Food!$B$2:$K$236,10,FALSE),"")</f>
        <v/>
      </c>
      <c r="E208" s="29" t="str">
        <f>IF(COUNT(VLOOKUP($B208,Housing!$B$2:$L$236,11,FALSE)&amp;"")=1,VLOOKUP($B208,Housing!$B$2:$L$236,11,FALSE),"")</f>
        <v/>
      </c>
      <c r="F208" s="29" t="str">
        <f>IF(COUNT(VLOOKUP($B208,Employment!$B$2:$M$236,12,FALSE)&amp;"")=1,VLOOKUP($B208,Employment!$B$2:$M$236,12,FALSE),"")</f>
        <v/>
      </c>
      <c r="G208" s="29" t="str">
        <f>IF(COUNT(VLOOKUP($B208,Education!$B$2:$L$236,11,FALSE)&amp;"")=1,VLOOKUP($B208,Education!$B$2:$L$236,11,FALSE),"")</f>
        <v/>
      </c>
      <c r="H208" s="29" t="str">
        <f>IF(COUNT(VLOOKUP($B208,Gender!$B$2:$K$236,10,FALSE)&amp;"")=1,VLOOKUP($B208,Gender!$B$2:$K$236,10,FALSE),"")</f>
        <v/>
      </c>
      <c r="I208" s="29" t="str">
        <f>IF(COUNT(VLOOKUP($B208,'Religious Freedom'!$B$2:$K$200,10,FALSE)&amp;"")=1,VLOOKUP($B208,'Religious Freedom'!$B$2:$K$200,10,FALSE),"")</f>
        <v/>
      </c>
    </row>
    <row r="209" ht="14.25" customHeight="1">
      <c r="A209" s="22" t="s">
        <v>409</v>
      </c>
      <c r="B209" s="22" t="s">
        <v>410</v>
      </c>
      <c r="C209" s="29" t="str">
        <f>IF(COUNT(VLOOKUP($B209,Water!$B$2:$L$235,11,FALSE)&amp;"")=1,(VLOOKUP($B209,Water!$B$2:$L$235,11,FALSE)),"")</f>
        <v/>
      </c>
      <c r="D209" s="29" t="str">
        <f>IF(COUNT(VLOOKUP($B209,Food!$B$2:$K$236,10,FALSE)&amp;"")=1,VLOOKUP($B209,Food!$B$2:$K$236,10,FALSE),"")</f>
        <v/>
      </c>
      <c r="E209" s="29" t="str">
        <f>IF(COUNT(VLOOKUP($B209,Housing!$B$2:$L$236,11,FALSE)&amp;"")=1,VLOOKUP($B209,Housing!$B$2:$L$236,11,FALSE),"")</f>
        <v/>
      </c>
      <c r="F209" s="29" t="str">
        <f>IF(COUNT(VLOOKUP($B209,Employment!$B$2:$M$236,12,FALSE)&amp;"")=1,VLOOKUP($B209,Employment!$B$2:$M$236,12,FALSE),"")</f>
        <v/>
      </c>
      <c r="G209" s="29" t="str">
        <f>IF(COUNT(VLOOKUP($B209,Education!$B$2:$L$236,11,FALSE)&amp;"")=1,VLOOKUP($B209,Education!$B$2:$L$236,11,FALSE),"")</f>
        <v/>
      </c>
      <c r="H209" s="29" t="str">
        <f>IF(COUNT(VLOOKUP($B209,Gender!$B$2:$K$236,10,FALSE)&amp;"")=1,VLOOKUP($B209,Gender!$B$2:$K$236,10,FALSE),"")</f>
        <v/>
      </c>
      <c r="I209" s="29" t="str">
        <f>IF(COUNT(VLOOKUP($B209,'Religious Freedom'!$B$2:$K$200,10,FALSE)&amp;"")=1,VLOOKUP($B209,'Religious Freedom'!$B$2:$K$200,10,FALSE),"")</f>
        <v/>
      </c>
    </row>
    <row r="210" ht="14.25" customHeight="1">
      <c r="A210" s="22" t="s">
        <v>411</v>
      </c>
      <c r="B210" s="22" t="s">
        <v>412</v>
      </c>
      <c r="C210" s="29" t="str">
        <f>IF(COUNT(VLOOKUP($B210,Water!$B$2:$L$235,11,FALSE)&amp;"")=1,(VLOOKUP($B210,Water!$B$2:$L$235,11,FALSE)),"")</f>
        <v/>
      </c>
      <c r="D210" s="29" t="str">
        <f>IF(COUNT(VLOOKUP($B210,Food!$B$2:$K$236,10,FALSE)&amp;"")=1,VLOOKUP($B210,Food!$B$2:$K$236,10,FALSE),"")</f>
        <v/>
      </c>
      <c r="E210" s="29" t="str">
        <f>IF(COUNT(VLOOKUP($B210,Housing!$B$2:$L$236,11,FALSE)&amp;"")=1,VLOOKUP($B210,Housing!$B$2:$L$236,11,FALSE),"")</f>
        <v/>
      </c>
      <c r="F210" s="29" t="str">
        <f>IF(COUNT(VLOOKUP($B210,Employment!$B$2:$M$236,12,FALSE)&amp;"")=1,VLOOKUP($B210,Employment!$B$2:$M$236,12,FALSE),"")</f>
        <v/>
      </c>
      <c r="G210" s="29" t="str">
        <f>IF(COUNT(VLOOKUP($B210,Education!$B$2:$L$236,11,FALSE)&amp;"")=1,VLOOKUP($B210,Education!$B$2:$L$236,11,FALSE),"")</f>
        <v/>
      </c>
      <c r="H210" s="29" t="str">
        <f>IF(COUNT(VLOOKUP($B210,Gender!$B$2:$K$236,10,FALSE)&amp;"")=1,VLOOKUP($B210,Gender!$B$2:$K$236,10,FALSE),"")</f>
        <v/>
      </c>
      <c r="I210" s="29" t="str">
        <f>IF(COUNT(VLOOKUP($B210,'Religious Freedom'!$B$2:$K$200,10,FALSE)&amp;"")=1,VLOOKUP($B210,'Religious Freedom'!$B$2:$K$200,10,FALSE),"")</f>
        <v/>
      </c>
    </row>
    <row r="211" ht="14.25" customHeight="1">
      <c r="A211" s="22" t="s">
        <v>413</v>
      </c>
      <c r="B211" s="22" t="s">
        <v>414</v>
      </c>
      <c r="C211" s="29" t="str">
        <f>IF(COUNT(VLOOKUP($B211,Water!$B$2:$L$235,11,FALSE)&amp;"")=1,(VLOOKUP($B211,Water!$B$2:$L$235,11,FALSE)),"")</f>
        <v/>
      </c>
      <c r="D211" s="29" t="str">
        <f>IF(COUNT(VLOOKUP($B211,Food!$B$2:$K$236,10,FALSE)&amp;"")=1,VLOOKUP($B211,Food!$B$2:$K$236,10,FALSE),"")</f>
        <v/>
      </c>
      <c r="E211" s="29" t="str">
        <f>IF(COUNT(VLOOKUP($B211,Housing!$B$2:$L$236,11,FALSE)&amp;"")=1,VLOOKUP($B211,Housing!$B$2:$L$236,11,FALSE),"")</f>
        <v/>
      </c>
      <c r="F211" s="29" t="str">
        <f>IF(COUNT(VLOOKUP($B211,Employment!$B$2:$M$236,12,FALSE)&amp;"")=1,VLOOKUP($B211,Employment!$B$2:$M$236,12,FALSE),"")</f>
        <v/>
      </c>
      <c r="G211" s="29" t="str">
        <f>IF(COUNT(VLOOKUP($B211,Education!$B$2:$L$236,11,FALSE)&amp;"")=1,VLOOKUP($B211,Education!$B$2:$L$236,11,FALSE),"")</f>
        <v/>
      </c>
      <c r="H211" s="29" t="str">
        <f>IF(COUNT(VLOOKUP($B211,Gender!$B$2:$K$236,10,FALSE)&amp;"")=1,VLOOKUP($B211,Gender!$B$2:$K$236,10,FALSE),"")</f>
        <v/>
      </c>
      <c r="I211" s="29" t="str">
        <f>IF(COUNT(VLOOKUP($B211,'Religious Freedom'!$B$2:$K$200,10,FALSE)&amp;"")=1,VLOOKUP($B211,'Religious Freedom'!$B$2:$K$200,10,FALSE),"")</f>
        <v/>
      </c>
    </row>
    <row r="212" ht="14.25" customHeight="1">
      <c r="A212" s="22" t="s">
        <v>415</v>
      </c>
      <c r="B212" s="22" t="s">
        <v>416</v>
      </c>
      <c r="C212" s="29" t="str">
        <f>IF(COUNT(VLOOKUP($B212,Water!$B$2:$L$235,11,FALSE)&amp;"")=1,(VLOOKUP($B212,Water!$B$2:$L$235,11,FALSE)),"")</f>
        <v/>
      </c>
      <c r="D212" s="29" t="str">
        <f>IF(COUNT(VLOOKUP($B212,Food!$B$2:$K$236,10,FALSE)&amp;"")=1,VLOOKUP($B212,Food!$B$2:$K$236,10,FALSE),"")</f>
        <v/>
      </c>
      <c r="E212" s="29" t="str">
        <f>IF(COUNT(VLOOKUP($B212,Housing!$B$2:$L$236,11,FALSE)&amp;"")=1,VLOOKUP($B212,Housing!$B$2:$L$236,11,FALSE),"")</f>
        <v/>
      </c>
      <c r="F212" s="29" t="str">
        <f>IF(COUNT(VLOOKUP($B212,Employment!$B$2:$M$236,12,FALSE)&amp;"")=1,VLOOKUP($B212,Employment!$B$2:$M$236,12,FALSE),"")</f>
        <v/>
      </c>
      <c r="G212" s="29" t="str">
        <f>IF(COUNT(VLOOKUP($B212,Education!$B$2:$L$236,11,FALSE)&amp;"")=1,VLOOKUP($B212,Education!$B$2:$L$236,11,FALSE),"")</f>
        <v/>
      </c>
      <c r="H212" s="29" t="str">
        <f>IF(COUNT(VLOOKUP($B212,Gender!$B$2:$K$236,10,FALSE)&amp;"")=1,VLOOKUP($B212,Gender!$B$2:$K$236,10,FALSE),"")</f>
        <v/>
      </c>
      <c r="I212" s="29" t="str">
        <f>IF(COUNT(VLOOKUP($B212,'Religious Freedom'!$B$2:$K$200,10,FALSE)&amp;"")=1,VLOOKUP($B212,'Religious Freedom'!$B$2:$K$200,10,FALSE),"")</f>
        <v/>
      </c>
    </row>
    <row r="213" ht="14.25" customHeight="1">
      <c r="A213" s="22" t="s">
        <v>417</v>
      </c>
      <c r="B213" s="22" t="s">
        <v>418</v>
      </c>
      <c r="C213" s="29" t="str">
        <f>IF(COUNT(VLOOKUP($B213,Water!$B$2:$L$235,11,FALSE)&amp;"")=1,(VLOOKUP($B213,Water!$B$2:$L$235,11,FALSE)),"")</f>
        <v/>
      </c>
      <c r="D213" s="29" t="str">
        <f>IF(COUNT(VLOOKUP($B213,Food!$B$2:$K$236,10,FALSE)&amp;"")=1,VLOOKUP($B213,Food!$B$2:$K$236,10,FALSE),"")</f>
        <v/>
      </c>
      <c r="E213" s="29" t="str">
        <f>IF(COUNT(VLOOKUP($B213,Housing!$B$2:$L$236,11,FALSE)&amp;"")=1,VLOOKUP($B213,Housing!$B$2:$L$236,11,FALSE),"")</f>
        <v/>
      </c>
      <c r="F213" s="29" t="str">
        <f>IF(COUNT(VLOOKUP($B213,Employment!$B$2:$M$236,12,FALSE)&amp;"")=1,VLOOKUP($B213,Employment!$B$2:$M$236,12,FALSE),"")</f>
        <v/>
      </c>
      <c r="G213" s="29" t="str">
        <f>IF(COUNT(VLOOKUP($B213,Education!$B$2:$L$236,11,FALSE)&amp;"")=1,VLOOKUP($B213,Education!$B$2:$L$236,11,FALSE),"")</f>
        <v/>
      </c>
      <c r="H213" s="29" t="str">
        <f>IF(COUNT(VLOOKUP($B213,Gender!$B$2:$K$236,10,FALSE)&amp;"")=1,VLOOKUP($B213,Gender!$B$2:$K$236,10,FALSE),"")</f>
        <v/>
      </c>
      <c r="I213" s="29" t="str">
        <f>IF(COUNT(VLOOKUP($B213,'Religious Freedom'!$B$2:$K$200,10,FALSE)&amp;"")=1,VLOOKUP($B213,'Religious Freedom'!$B$2:$K$200,10,FALSE),"")</f>
        <v/>
      </c>
    </row>
    <row r="214" ht="14.25" customHeight="1">
      <c r="A214" s="22" t="s">
        <v>419</v>
      </c>
      <c r="B214" s="22" t="s">
        <v>420</v>
      </c>
      <c r="C214" s="29" t="str">
        <f>IF(COUNT(VLOOKUP($B214,Water!$B$2:$L$235,11,FALSE)&amp;"")=1,(VLOOKUP($B214,Water!$B$2:$L$235,11,FALSE)),"")</f>
        <v/>
      </c>
      <c r="D214" s="29" t="str">
        <f>IF(COUNT(VLOOKUP($B214,Food!$B$2:$K$236,10,FALSE)&amp;"")=1,VLOOKUP($B214,Food!$B$2:$K$236,10,FALSE),"")</f>
        <v/>
      </c>
      <c r="E214" s="29" t="str">
        <f>IF(COUNT(VLOOKUP($B214,Housing!$B$2:$L$236,11,FALSE)&amp;"")=1,VLOOKUP($B214,Housing!$B$2:$L$236,11,FALSE),"")</f>
        <v/>
      </c>
      <c r="F214" s="29" t="str">
        <f>IF(COUNT(VLOOKUP($B214,Employment!$B$2:$M$236,12,FALSE)&amp;"")=1,VLOOKUP($B214,Employment!$B$2:$M$236,12,FALSE),"")</f>
        <v/>
      </c>
      <c r="G214" s="29" t="str">
        <f>IF(COUNT(VLOOKUP($B214,Education!$B$2:$L$236,11,FALSE)&amp;"")=1,VLOOKUP($B214,Education!$B$2:$L$236,11,FALSE),"")</f>
        <v/>
      </c>
      <c r="H214" s="29" t="str">
        <f>IF(COUNT(VLOOKUP($B214,Gender!$B$2:$K$236,10,FALSE)&amp;"")=1,VLOOKUP($B214,Gender!$B$2:$K$236,10,FALSE),"")</f>
        <v/>
      </c>
      <c r="I214" s="29" t="str">
        <f>IF(COUNT(VLOOKUP($B214,'Religious Freedom'!$B$2:$K$200,10,FALSE)&amp;"")=1,VLOOKUP($B214,'Religious Freedom'!$B$2:$K$200,10,FALSE),"")</f>
        <v/>
      </c>
    </row>
    <row r="215" ht="14.25" customHeight="1">
      <c r="A215" s="22" t="s">
        <v>421</v>
      </c>
      <c r="B215" s="22" t="s">
        <v>422</v>
      </c>
      <c r="C215" s="29" t="str">
        <f>IF(COUNT(VLOOKUP($B215,Water!$B$2:$L$235,11,FALSE)&amp;"")=1,(VLOOKUP($B215,Water!$B$2:$L$235,11,FALSE)),"")</f>
        <v/>
      </c>
      <c r="D215" s="29" t="str">
        <f>IF(COUNT(VLOOKUP($B215,Food!$B$2:$K$236,10,FALSE)&amp;"")=1,VLOOKUP($B215,Food!$B$2:$K$236,10,FALSE),"")</f>
        <v/>
      </c>
      <c r="E215" s="29" t="str">
        <f>IF(COUNT(VLOOKUP($B215,Housing!$B$2:$L$236,11,FALSE)&amp;"")=1,VLOOKUP($B215,Housing!$B$2:$L$236,11,FALSE),"")</f>
        <v/>
      </c>
      <c r="F215" s="29" t="str">
        <f>IF(COUNT(VLOOKUP($B215,Employment!$B$2:$M$236,12,FALSE)&amp;"")=1,VLOOKUP($B215,Employment!$B$2:$M$236,12,FALSE),"")</f>
        <v/>
      </c>
      <c r="G215" s="29" t="str">
        <f>IF(COUNT(VLOOKUP($B215,Education!$B$2:$L$236,11,FALSE)&amp;"")=1,VLOOKUP($B215,Education!$B$2:$L$236,11,FALSE),"")</f>
        <v/>
      </c>
      <c r="H215" s="29" t="str">
        <f>IF(COUNT(VLOOKUP($B215,Gender!$B$2:$K$236,10,FALSE)&amp;"")=1,VLOOKUP($B215,Gender!$B$2:$K$236,10,FALSE),"")</f>
        <v/>
      </c>
      <c r="I215" s="29" t="str">
        <f>IF(COUNT(VLOOKUP($B215,'Religious Freedom'!$B$2:$K$200,10,FALSE)&amp;"")=1,VLOOKUP($B215,'Religious Freedom'!$B$2:$K$200,10,FALSE),"")</f>
        <v/>
      </c>
    </row>
    <row r="216" ht="14.25" customHeight="1">
      <c r="A216" s="22" t="s">
        <v>423</v>
      </c>
      <c r="B216" s="22" t="s">
        <v>424</v>
      </c>
      <c r="C216" s="29" t="str">
        <f>IF(COUNT(VLOOKUP($B216,Water!$B$2:$L$235,11,FALSE)&amp;"")=1,(VLOOKUP($B216,Water!$B$2:$L$235,11,FALSE)),"")</f>
        <v/>
      </c>
      <c r="D216" s="29" t="str">
        <f>IF(COUNT(VLOOKUP($B216,Food!$B$2:$K$236,10,FALSE)&amp;"")=1,VLOOKUP($B216,Food!$B$2:$K$236,10,FALSE),"")</f>
        <v/>
      </c>
      <c r="E216" s="29" t="str">
        <f>IF(COUNT(VLOOKUP($B216,Housing!$B$2:$L$236,11,FALSE)&amp;"")=1,VLOOKUP($B216,Housing!$B$2:$L$236,11,FALSE),"")</f>
        <v/>
      </c>
      <c r="F216" s="29" t="str">
        <f>IF(COUNT(VLOOKUP($B216,Employment!$B$2:$M$236,12,FALSE)&amp;"")=1,VLOOKUP($B216,Employment!$B$2:$M$236,12,FALSE),"")</f>
        <v/>
      </c>
      <c r="G216" s="29" t="str">
        <f>IF(COUNT(VLOOKUP($B216,Education!$B$2:$L$236,11,FALSE)&amp;"")=1,VLOOKUP($B216,Education!$B$2:$L$236,11,FALSE),"")</f>
        <v/>
      </c>
      <c r="H216" s="29" t="str">
        <f>IF(COUNT(VLOOKUP($B216,Gender!$B$2:$K$236,10,FALSE)&amp;"")=1,VLOOKUP($B216,Gender!$B$2:$K$236,10,FALSE),"")</f>
        <v/>
      </c>
      <c r="I216" s="29" t="str">
        <f>IF(COUNT(VLOOKUP($B216,'Religious Freedom'!$B$2:$K$200,10,FALSE)&amp;"")=1,VLOOKUP($B216,'Religious Freedom'!$B$2:$K$200,10,FALSE),"")</f>
        <v/>
      </c>
    </row>
    <row r="217" ht="14.25" customHeight="1">
      <c r="A217" s="22" t="s">
        <v>425</v>
      </c>
      <c r="B217" s="22" t="s">
        <v>426</v>
      </c>
      <c r="C217" s="29" t="str">
        <f>IF(COUNT(VLOOKUP($B217,Water!$B$2:$L$235,11,FALSE)&amp;"")=1,(VLOOKUP($B217,Water!$B$2:$L$235,11,FALSE)),"")</f>
        <v/>
      </c>
      <c r="D217" s="29" t="str">
        <f>IF(COUNT(VLOOKUP($B217,Food!$B$2:$K$236,10,FALSE)&amp;"")=1,VLOOKUP($B217,Food!$B$2:$K$236,10,FALSE),"")</f>
        <v/>
      </c>
      <c r="E217" s="29" t="str">
        <f>IF(COUNT(VLOOKUP($B217,Housing!$B$2:$L$236,11,FALSE)&amp;"")=1,VLOOKUP($B217,Housing!$B$2:$L$236,11,FALSE),"")</f>
        <v/>
      </c>
      <c r="F217" s="29" t="str">
        <f>IF(COUNT(VLOOKUP($B217,Employment!$B$2:$M$236,12,FALSE)&amp;"")=1,VLOOKUP($B217,Employment!$B$2:$M$236,12,FALSE),"")</f>
        <v/>
      </c>
      <c r="G217" s="29" t="str">
        <f>IF(COUNT(VLOOKUP($B217,Education!$B$2:$L$236,11,FALSE)&amp;"")=1,VLOOKUP($B217,Education!$B$2:$L$236,11,FALSE),"")</f>
        <v/>
      </c>
      <c r="H217" s="29" t="str">
        <f>IF(COUNT(VLOOKUP($B217,Gender!$B$2:$K$236,10,FALSE)&amp;"")=1,VLOOKUP($B217,Gender!$B$2:$K$236,10,FALSE),"")</f>
        <v/>
      </c>
      <c r="I217" s="29" t="str">
        <f>IF(COUNT(VLOOKUP($B217,'Religious Freedom'!$B$2:$K$200,10,FALSE)&amp;"")=1,VLOOKUP($B217,'Religious Freedom'!$B$2:$K$200,10,FALSE),"")</f>
        <v/>
      </c>
    </row>
    <row r="218" ht="14.25" customHeight="1">
      <c r="A218" s="22" t="s">
        <v>427</v>
      </c>
      <c r="B218" s="22" t="s">
        <v>428</v>
      </c>
      <c r="C218" s="29" t="str">
        <f>IF(COUNT(VLOOKUP($B218,Water!$B$2:$L$235,11,FALSE)&amp;"")=1,(VLOOKUP($B218,Water!$B$2:$L$235,11,FALSE)),"")</f>
        <v/>
      </c>
      <c r="D218" s="29" t="str">
        <f>IF(COUNT(VLOOKUP($B218,Food!$B$2:$K$236,10,FALSE)&amp;"")=1,VLOOKUP($B218,Food!$B$2:$K$236,10,FALSE),"")</f>
        <v/>
      </c>
      <c r="E218" s="29" t="str">
        <f>IF(COUNT(VLOOKUP($B218,Housing!$B$2:$L$236,11,FALSE)&amp;"")=1,VLOOKUP($B218,Housing!$B$2:$L$236,11,FALSE),"")</f>
        <v/>
      </c>
      <c r="F218" s="29" t="str">
        <f>IF(COUNT(VLOOKUP($B218,Employment!$B$2:$M$236,12,FALSE)&amp;"")=1,VLOOKUP($B218,Employment!$B$2:$M$236,12,FALSE),"")</f>
        <v/>
      </c>
      <c r="G218" s="29" t="str">
        <f>IF(COUNT(VLOOKUP($B218,Education!$B$2:$L$236,11,FALSE)&amp;"")=1,VLOOKUP($B218,Education!$B$2:$L$236,11,FALSE),"")</f>
        <v/>
      </c>
      <c r="H218" s="29" t="str">
        <f>IF(COUNT(VLOOKUP($B218,Gender!$B$2:$K$236,10,FALSE)&amp;"")=1,VLOOKUP($B218,Gender!$B$2:$K$236,10,FALSE),"")</f>
        <v/>
      </c>
      <c r="I218" s="29" t="str">
        <f>IF(COUNT(VLOOKUP($B218,'Religious Freedom'!$B$2:$K$200,10,FALSE)&amp;"")=1,VLOOKUP($B218,'Religious Freedom'!$B$2:$K$200,10,FALSE),"")</f>
        <v/>
      </c>
    </row>
    <row r="219" ht="14.25" customHeight="1">
      <c r="A219" s="22" t="s">
        <v>429</v>
      </c>
      <c r="B219" s="22" t="s">
        <v>430</v>
      </c>
      <c r="C219" s="29" t="str">
        <f>IF(COUNT(VLOOKUP($B219,Water!$B$2:$L$235,11,FALSE)&amp;"")=1,(VLOOKUP($B219,Water!$B$2:$L$235,11,FALSE)),"")</f>
        <v/>
      </c>
      <c r="D219" s="29" t="str">
        <f>IF(COUNT(VLOOKUP($B219,Food!$B$2:$K$236,10,FALSE)&amp;"")=1,VLOOKUP($B219,Food!$B$2:$K$236,10,FALSE),"")</f>
        <v/>
      </c>
      <c r="E219" s="29" t="str">
        <f>IF(COUNT(VLOOKUP($B219,Housing!$B$2:$L$236,11,FALSE)&amp;"")=1,VLOOKUP($B219,Housing!$B$2:$L$236,11,FALSE),"")</f>
        <v/>
      </c>
      <c r="F219" s="29" t="str">
        <f>IF(COUNT(VLOOKUP($B219,Employment!$B$2:$M$236,12,FALSE)&amp;"")=1,VLOOKUP($B219,Employment!$B$2:$M$236,12,FALSE),"")</f>
        <v/>
      </c>
      <c r="G219" s="29" t="str">
        <f>IF(COUNT(VLOOKUP($B219,Education!$B$2:$L$236,11,FALSE)&amp;"")=1,VLOOKUP($B219,Education!$B$2:$L$236,11,FALSE),"")</f>
        <v/>
      </c>
      <c r="H219" s="29" t="str">
        <f>IF(COUNT(VLOOKUP($B219,Gender!$B$2:$K$236,10,FALSE)&amp;"")=1,VLOOKUP($B219,Gender!$B$2:$K$236,10,FALSE),"")</f>
        <v/>
      </c>
      <c r="I219" s="29" t="str">
        <f>IF(COUNT(VLOOKUP($B219,'Religious Freedom'!$B$2:$K$200,10,FALSE)&amp;"")=1,VLOOKUP($B219,'Religious Freedom'!$B$2:$K$200,10,FALSE),"")</f>
        <v/>
      </c>
    </row>
    <row r="220" ht="14.25" customHeight="1">
      <c r="A220" s="22" t="s">
        <v>431</v>
      </c>
      <c r="B220" s="22" t="s">
        <v>432</v>
      </c>
      <c r="C220" s="29" t="str">
        <f>IF(COUNT(VLOOKUP($B220,Water!$B$2:$L$235,11,FALSE)&amp;"")=1,(VLOOKUP($B220,Water!$B$2:$L$235,11,FALSE)),"")</f>
        <v/>
      </c>
      <c r="D220" s="29" t="str">
        <f>IF(COUNT(VLOOKUP($B220,Food!$B$2:$K$236,10,FALSE)&amp;"")=1,VLOOKUP($B220,Food!$B$2:$K$236,10,FALSE),"")</f>
        <v/>
      </c>
      <c r="E220" s="29" t="str">
        <f>IF(COUNT(VLOOKUP($B220,Housing!$B$2:$L$236,11,FALSE)&amp;"")=1,VLOOKUP($B220,Housing!$B$2:$L$236,11,FALSE),"")</f>
        <v/>
      </c>
      <c r="F220" s="29" t="str">
        <f>IF(COUNT(VLOOKUP($B220,Employment!$B$2:$M$236,12,FALSE)&amp;"")=1,VLOOKUP($B220,Employment!$B$2:$M$236,12,FALSE),"")</f>
        <v/>
      </c>
      <c r="G220" s="29" t="str">
        <f>IF(COUNT(VLOOKUP($B220,Education!$B$2:$L$236,11,FALSE)&amp;"")=1,VLOOKUP($B220,Education!$B$2:$L$236,11,FALSE),"")</f>
        <v/>
      </c>
      <c r="H220" s="29" t="str">
        <f>IF(COUNT(VLOOKUP($B220,Gender!$B$2:$K$236,10,FALSE)&amp;"")=1,VLOOKUP($B220,Gender!$B$2:$K$236,10,FALSE),"")</f>
        <v/>
      </c>
      <c r="I220" s="29" t="str">
        <f>IF(COUNT(VLOOKUP($B220,'Religious Freedom'!$B$2:$K$200,10,FALSE)&amp;"")=1,VLOOKUP($B220,'Religious Freedom'!$B$2:$K$200,10,FALSE),"")</f>
        <v/>
      </c>
    </row>
    <row r="221" ht="14.25" customHeight="1">
      <c r="A221" s="22" t="s">
        <v>433</v>
      </c>
      <c r="B221" s="22" t="s">
        <v>434</v>
      </c>
      <c r="C221" s="29" t="str">
        <f>IF(COUNT(VLOOKUP($B221,Water!$B$2:$L$235,11,FALSE)&amp;"")=1,(VLOOKUP($B221,Water!$B$2:$L$235,11,FALSE)),"")</f>
        <v/>
      </c>
      <c r="D221" s="29" t="str">
        <f>IF(COUNT(VLOOKUP($B221,Food!$B$2:$K$236,10,FALSE)&amp;"")=1,VLOOKUP($B221,Food!$B$2:$K$236,10,FALSE),"")</f>
        <v/>
      </c>
      <c r="E221" s="29" t="str">
        <f>IF(COUNT(VLOOKUP($B221,Housing!$B$2:$L$236,11,FALSE)&amp;"")=1,VLOOKUP($B221,Housing!$B$2:$L$236,11,FALSE),"")</f>
        <v/>
      </c>
      <c r="F221" s="29" t="str">
        <f>IF(COUNT(VLOOKUP($B221,Employment!$B$2:$M$236,12,FALSE)&amp;"")=1,VLOOKUP($B221,Employment!$B$2:$M$236,12,FALSE),"")</f>
        <v/>
      </c>
      <c r="G221" s="29" t="str">
        <f>IF(COUNT(VLOOKUP($B221,Education!$B$2:$L$236,11,FALSE)&amp;"")=1,VLOOKUP($B221,Education!$B$2:$L$236,11,FALSE),"")</f>
        <v/>
      </c>
      <c r="H221" s="29" t="str">
        <f>IF(COUNT(VLOOKUP($B221,Gender!$B$2:$K$236,10,FALSE)&amp;"")=1,VLOOKUP($B221,Gender!$B$2:$K$236,10,FALSE),"")</f>
        <v/>
      </c>
      <c r="I221" s="29" t="str">
        <f>IF(COUNT(VLOOKUP($B221,'Religious Freedom'!$B$2:$K$200,10,FALSE)&amp;"")=1,VLOOKUP($B221,'Religious Freedom'!$B$2:$K$200,10,FALSE),"")</f>
        <v/>
      </c>
    </row>
    <row r="222" ht="14.25" customHeight="1">
      <c r="A222" s="22" t="s">
        <v>435</v>
      </c>
      <c r="B222" s="22" t="s">
        <v>436</v>
      </c>
      <c r="C222" s="29" t="str">
        <f>IF(COUNT(VLOOKUP($B222,Water!$B$2:$L$235,11,FALSE)&amp;"")=1,(VLOOKUP($B222,Water!$B$2:$L$235,11,FALSE)),"")</f>
        <v/>
      </c>
      <c r="D222" s="29" t="str">
        <f>IF(COUNT(VLOOKUP($B222,Food!$B$2:$K$236,10,FALSE)&amp;"")=1,VLOOKUP($B222,Food!$B$2:$K$236,10,FALSE),"")</f>
        <v/>
      </c>
      <c r="E222" s="29" t="str">
        <f>IF(COUNT(VLOOKUP($B222,Housing!$B$2:$L$236,11,FALSE)&amp;"")=1,VLOOKUP($B222,Housing!$B$2:$L$236,11,FALSE),"")</f>
        <v/>
      </c>
      <c r="F222" s="29" t="str">
        <f>IF(COUNT(VLOOKUP($B222,Employment!$B$2:$M$236,12,FALSE)&amp;"")=1,VLOOKUP($B222,Employment!$B$2:$M$236,12,FALSE),"")</f>
        <v/>
      </c>
      <c r="G222" s="29" t="str">
        <f>IF(COUNT(VLOOKUP($B222,Education!$B$2:$L$236,11,FALSE)&amp;"")=1,VLOOKUP($B222,Education!$B$2:$L$236,11,FALSE),"")</f>
        <v/>
      </c>
      <c r="H222" s="29" t="str">
        <f>IF(COUNT(VLOOKUP($B222,Gender!$B$2:$K$236,10,FALSE)&amp;"")=1,VLOOKUP($B222,Gender!$B$2:$K$236,10,FALSE),"")</f>
        <v/>
      </c>
      <c r="I222" s="29" t="str">
        <f>IF(COUNT(VLOOKUP($B222,'Religious Freedom'!$B$2:$K$200,10,FALSE)&amp;"")=1,VLOOKUP($B222,'Religious Freedom'!$B$2:$K$200,10,FALSE),"")</f>
        <v/>
      </c>
    </row>
    <row r="223" ht="14.25" customHeight="1">
      <c r="A223" s="22" t="s">
        <v>437</v>
      </c>
      <c r="B223" s="22" t="s">
        <v>438</v>
      </c>
      <c r="C223" s="29" t="str">
        <f>IF(COUNT(VLOOKUP($B223,Water!$B$2:$L$235,11,FALSE)&amp;"")=1,(VLOOKUP($B223,Water!$B$2:$L$235,11,FALSE)),"")</f>
        <v/>
      </c>
      <c r="D223" s="29" t="str">
        <f>IF(COUNT(VLOOKUP($B223,Food!$B$2:$K$236,10,FALSE)&amp;"")=1,VLOOKUP($B223,Food!$B$2:$K$236,10,FALSE),"")</f>
        <v/>
      </c>
      <c r="E223" s="29" t="str">
        <f>IF(COUNT(VLOOKUP($B223,Housing!$B$2:$L$236,11,FALSE)&amp;"")=1,VLOOKUP($B223,Housing!$B$2:$L$236,11,FALSE),"")</f>
        <v/>
      </c>
      <c r="F223" s="29" t="str">
        <f>IF(COUNT(VLOOKUP($B223,Employment!$B$2:$M$236,12,FALSE)&amp;"")=1,VLOOKUP($B223,Employment!$B$2:$M$236,12,FALSE),"")</f>
        <v/>
      </c>
      <c r="G223" s="29" t="str">
        <f>IF(COUNT(VLOOKUP($B223,Education!$B$2:$L$236,11,FALSE)&amp;"")=1,VLOOKUP($B223,Education!$B$2:$L$236,11,FALSE),"")</f>
        <v/>
      </c>
      <c r="H223" s="29" t="str">
        <f>IF(COUNT(VLOOKUP($B223,Gender!$B$2:$K$236,10,FALSE)&amp;"")=1,VLOOKUP($B223,Gender!$B$2:$K$236,10,FALSE),"")</f>
        <v/>
      </c>
      <c r="I223" s="29" t="str">
        <f>IF(COUNT(VLOOKUP($B223,'Religious Freedom'!$B$2:$K$200,10,FALSE)&amp;"")=1,VLOOKUP($B223,'Religious Freedom'!$B$2:$K$200,10,FALSE),"")</f>
        <v/>
      </c>
    </row>
    <row r="224" ht="14.25" customHeight="1">
      <c r="A224" s="22" t="s">
        <v>439</v>
      </c>
      <c r="B224" s="22" t="s">
        <v>440</v>
      </c>
      <c r="C224" s="29" t="str">
        <f>IF(COUNT(VLOOKUP($B224,Water!$B$2:$L$235,11,FALSE)&amp;"")=1,(VLOOKUP($B224,Water!$B$2:$L$235,11,FALSE)),"")</f>
        <v/>
      </c>
      <c r="D224" s="29" t="str">
        <f>IF(COUNT(VLOOKUP($B224,Food!$B$2:$K$236,10,FALSE)&amp;"")=1,VLOOKUP($B224,Food!$B$2:$K$236,10,FALSE),"")</f>
        <v/>
      </c>
      <c r="E224" s="29" t="str">
        <f>IF(COUNT(VLOOKUP($B224,Housing!$B$2:$L$236,11,FALSE)&amp;"")=1,VLOOKUP($B224,Housing!$B$2:$L$236,11,FALSE),"")</f>
        <v/>
      </c>
      <c r="F224" s="29" t="str">
        <f>IF(COUNT(VLOOKUP($B224,Employment!$B$2:$M$236,12,FALSE)&amp;"")=1,VLOOKUP($B224,Employment!$B$2:$M$236,12,FALSE),"")</f>
        <v/>
      </c>
      <c r="G224" s="29" t="str">
        <f>IF(COUNT(VLOOKUP($B224,Education!$B$2:$L$236,11,FALSE)&amp;"")=1,VLOOKUP($B224,Education!$B$2:$L$236,11,FALSE),"")</f>
        <v/>
      </c>
      <c r="H224" s="29" t="str">
        <f>IF(COUNT(VLOOKUP($B224,Gender!$B$2:$K$236,10,FALSE)&amp;"")=1,VLOOKUP($B224,Gender!$B$2:$K$236,10,FALSE),"")</f>
        <v/>
      </c>
      <c r="I224" s="29" t="str">
        <f>IF(COUNT(VLOOKUP($B224,'Religious Freedom'!$B$2:$K$200,10,FALSE)&amp;"")=1,VLOOKUP($B224,'Religious Freedom'!$B$2:$K$200,10,FALSE),"")</f>
        <v/>
      </c>
    </row>
    <row r="225" ht="14.25" customHeight="1">
      <c r="A225" s="22" t="s">
        <v>441</v>
      </c>
      <c r="B225" s="22" t="s">
        <v>442</v>
      </c>
      <c r="C225" s="29" t="str">
        <f>IF(COUNT(VLOOKUP($B225,Water!$B$2:$L$235,11,FALSE)&amp;"")=1,(VLOOKUP($B225,Water!$B$2:$L$235,11,FALSE)),"")</f>
        <v/>
      </c>
      <c r="D225" s="29" t="str">
        <f>IF(COUNT(VLOOKUP($B225,Food!$B$2:$K$236,10,FALSE)&amp;"")=1,VLOOKUP($B225,Food!$B$2:$K$236,10,FALSE),"")</f>
        <v/>
      </c>
      <c r="E225" s="29" t="str">
        <f>IF(COUNT(VLOOKUP($B225,Housing!$B$2:$L$236,11,FALSE)&amp;"")=1,VLOOKUP($B225,Housing!$B$2:$L$236,11,FALSE),"")</f>
        <v/>
      </c>
      <c r="F225" s="29" t="str">
        <f>IF(COUNT(VLOOKUP($B225,Employment!$B$2:$M$236,12,FALSE)&amp;"")=1,VLOOKUP($B225,Employment!$B$2:$M$236,12,FALSE),"")</f>
        <v/>
      </c>
      <c r="G225" s="29" t="str">
        <f>IF(COUNT(VLOOKUP($B225,Education!$B$2:$L$236,11,FALSE)&amp;"")=1,VLOOKUP($B225,Education!$B$2:$L$236,11,FALSE),"")</f>
        <v/>
      </c>
      <c r="H225" s="29" t="str">
        <f>IF(COUNT(VLOOKUP($B225,Gender!$B$2:$K$236,10,FALSE)&amp;"")=1,VLOOKUP($B225,Gender!$B$2:$K$236,10,FALSE),"")</f>
        <v/>
      </c>
      <c r="I225" s="29" t="str">
        <f>IF(COUNT(VLOOKUP($B225,'Religious Freedom'!$B$2:$K$200,10,FALSE)&amp;"")=1,VLOOKUP($B225,'Religious Freedom'!$B$2:$K$200,10,FALSE),"")</f>
        <v/>
      </c>
    </row>
    <row r="226" ht="14.25" customHeight="1">
      <c r="A226" s="22" t="s">
        <v>443</v>
      </c>
      <c r="B226" s="22" t="s">
        <v>444</v>
      </c>
      <c r="C226" s="29" t="str">
        <f>IF(COUNT(VLOOKUP($B226,Water!$B$2:$L$235,11,FALSE)&amp;"")=1,(VLOOKUP($B226,Water!$B$2:$L$235,11,FALSE)),"")</f>
        <v/>
      </c>
      <c r="D226" s="29" t="str">
        <f>IF(COUNT(VLOOKUP($B226,Food!$B$2:$K$236,10,FALSE)&amp;"")=1,VLOOKUP($B226,Food!$B$2:$K$236,10,FALSE),"")</f>
        <v/>
      </c>
      <c r="E226" s="29" t="str">
        <f>IF(COUNT(VLOOKUP($B226,Housing!$B$2:$L$236,11,FALSE)&amp;"")=1,VLOOKUP($B226,Housing!$B$2:$L$236,11,FALSE),"")</f>
        <v/>
      </c>
      <c r="F226" s="29" t="str">
        <f>IF(COUNT(VLOOKUP($B226,Employment!$B$2:$M$236,12,FALSE)&amp;"")=1,VLOOKUP($B226,Employment!$B$2:$M$236,12,FALSE),"")</f>
        <v/>
      </c>
      <c r="G226" s="29" t="str">
        <f>IF(COUNT(VLOOKUP($B226,Education!$B$2:$L$236,11,FALSE)&amp;"")=1,VLOOKUP($B226,Education!$B$2:$L$236,11,FALSE),"")</f>
        <v/>
      </c>
      <c r="H226" s="29" t="str">
        <f>IF(COUNT(VLOOKUP($B226,Gender!$B$2:$K$236,10,FALSE)&amp;"")=1,VLOOKUP($B226,Gender!$B$2:$K$236,10,FALSE),"")</f>
        <v/>
      </c>
      <c r="I226" s="29" t="str">
        <f>IF(COUNT(VLOOKUP($B226,'Religious Freedom'!$B$2:$K$200,10,FALSE)&amp;"")=1,VLOOKUP($B226,'Religious Freedom'!$B$2:$K$200,10,FALSE),"")</f>
        <v/>
      </c>
    </row>
    <row r="227" ht="14.25" customHeight="1">
      <c r="A227" s="22" t="s">
        <v>445</v>
      </c>
      <c r="B227" s="22" t="s">
        <v>446</v>
      </c>
      <c r="C227" s="29" t="str">
        <f>IF(COUNT(VLOOKUP($B227,Water!$B$2:$L$235,11,FALSE)&amp;"")=1,(VLOOKUP($B227,Water!$B$2:$L$235,11,FALSE)),"")</f>
        <v/>
      </c>
      <c r="D227" s="29" t="str">
        <f>IF(COUNT(VLOOKUP($B227,Food!$B$2:$K$236,10,FALSE)&amp;"")=1,VLOOKUP($B227,Food!$B$2:$K$236,10,FALSE),"")</f>
        <v/>
      </c>
      <c r="E227" s="29" t="str">
        <f>IF(COUNT(VLOOKUP($B227,Housing!$B$2:$L$236,11,FALSE)&amp;"")=1,VLOOKUP($B227,Housing!$B$2:$L$236,11,FALSE),"")</f>
        <v/>
      </c>
      <c r="F227" s="29" t="str">
        <f>IF(COUNT(VLOOKUP($B227,Employment!$B$2:$M$236,12,FALSE)&amp;"")=1,VLOOKUP($B227,Employment!$B$2:$M$236,12,FALSE),"")</f>
        <v/>
      </c>
      <c r="G227" s="29" t="str">
        <f>IF(COUNT(VLOOKUP($B227,Education!$B$2:$L$236,11,FALSE)&amp;"")=1,VLOOKUP($B227,Education!$B$2:$L$236,11,FALSE),"")</f>
        <v/>
      </c>
      <c r="H227" s="29" t="str">
        <f>IF(COUNT(VLOOKUP($B227,Gender!$B$2:$K$236,10,FALSE)&amp;"")=1,VLOOKUP($B227,Gender!$B$2:$K$236,10,FALSE),"")</f>
        <v/>
      </c>
      <c r="I227" s="29" t="str">
        <f>IF(COUNT(VLOOKUP($B227,'Religious Freedom'!$B$2:$K$200,10,FALSE)&amp;"")=1,VLOOKUP($B227,'Religious Freedom'!$B$2:$K$200,10,FALSE),"")</f>
        <v/>
      </c>
    </row>
    <row r="228" ht="14.25" customHeight="1">
      <c r="A228" s="22" t="s">
        <v>447</v>
      </c>
      <c r="B228" s="22" t="s">
        <v>448</v>
      </c>
      <c r="C228" s="29" t="str">
        <f>IF(COUNT(VLOOKUP($B228,Water!$B$2:$L$235,11,FALSE)&amp;"")=1,(VLOOKUP($B228,Water!$B$2:$L$235,11,FALSE)),"")</f>
        <v/>
      </c>
      <c r="D228" s="29" t="str">
        <f>IF(COUNT(VLOOKUP($B228,Food!$B$2:$K$236,10,FALSE)&amp;"")=1,VLOOKUP($B228,Food!$B$2:$K$236,10,FALSE),"")</f>
        <v/>
      </c>
      <c r="E228" s="29" t="str">
        <f>IF(COUNT(VLOOKUP($B228,Housing!$B$2:$L$236,11,FALSE)&amp;"")=1,VLOOKUP($B228,Housing!$B$2:$L$236,11,FALSE),"")</f>
        <v/>
      </c>
      <c r="F228" s="29" t="str">
        <f>IF(COUNT(VLOOKUP($B228,Employment!$B$2:$M$236,12,FALSE)&amp;"")=1,VLOOKUP($B228,Employment!$B$2:$M$236,12,FALSE),"")</f>
        <v/>
      </c>
      <c r="G228" s="29" t="str">
        <f>IF(COUNT(VLOOKUP($B228,Education!$B$2:$L$236,11,FALSE)&amp;"")=1,VLOOKUP($B228,Education!$B$2:$L$236,11,FALSE),"")</f>
        <v/>
      </c>
      <c r="H228" s="29" t="str">
        <f>IF(COUNT(VLOOKUP($B228,Gender!$B$2:$K$236,10,FALSE)&amp;"")=1,VLOOKUP($B228,Gender!$B$2:$K$236,10,FALSE),"")</f>
        <v/>
      </c>
      <c r="I228" s="29" t="str">
        <f>IF(COUNT(VLOOKUP($B228,'Religious Freedom'!$B$2:$K$200,10,FALSE)&amp;"")=1,VLOOKUP($B228,'Religious Freedom'!$B$2:$K$200,10,FALSE),"")</f>
        <v/>
      </c>
    </row>
    <row r="229" ht="14.25" customHeight="1">
      <c r="A229" s="22" t="s">
        <v>449</v>
      </c>
      <c r="B229" s="22" t="s">
        <v>450</v>
      </c>
      <c r="C229" s="29" t="str">
        <f>IF(COUNT(VLOOKUP($B229,Water!$B$2:$L$235,11,FALSE)&amp;"")=1,(VLOOKUP($B229,Water!$B$2:$L$235,11,FALSE)),"")</f>
        <v/>
      </c>
      <c r="D229" s="29" t="str">
        <f>IF(COUNT(VLOOKUP($B229,Food!$B$2:$K$236,10,FALSE)&amp;"")=1,VLOOKUP($B229,Food!$B$2:$K$236,10,FALSE),"")</f>
        <v/>
      </c>
      <c r="E229" s="29" t="str">
        <f>IF(COUNT(VLOOKUP($B229,Housing!$B$2:$L$236,11,FALSE)&amp;"")=1,VLOOKUP($B229,Housing!$B$2:$L$236,11,FALSE),"")</f>
        <v/>
      </c>
      <c r="F229" s="29" t="str">
        <f>IF(COUNT(VLOOKUP($B229,Employment!$B$2:$M$236,12,FALSE)&amp;"")=1,VLOOKUP($B229,Employment!$B$2:$M$236,12,FALSE),"")</f>
        <v/>
      </c>
      <c r="G229" s="29" t="str">
        <f>IF(COUNT(VLOOKUP($B229,Education!$B$2:$L$236,11,FALSE)&amp;"")=1,VLOOKUP($B229,Education!$B$2:$L$236,11,FALSE),"")</f>
        <v/>
      </c>
      <c r="H229" s="29" t="str">
        <f>IF(COUNT(VLOOKUP($B229,Gender!$B$2:$K$236,10,FALSE)&amp;"")=1,VLOOKUP($B229,Gender!$B$2:$K$236,10,FALSE),"")</f>
        <v/>
      </c>
      <c r="I229" s="29" t="str">
        <f>IF(COUNT(VLOOKUP($B229,'Religious Freedom'!$B$2:$K$200,10,FALSE)&amp;"")=1,VLOOKUP($B229,'Religious Freedom'!$B$2:$K$200,10,FALSE),"")</f>
        <v/>
      </c>
    </row>
    <row r="230" ht="14.25" customHeight="1">
      <c r="A230" s="22" t="s">
        <v>451</v>
      </c>
      <c r="B230" s="22" t="s">
        <v>452</v>
      </c>
      <c r="C230" s="29" t="str">
        <f>IF(COUNT(VLOOKUP($B230,Water!$B$2:$L$235,11,FALSE)&amp;"")=1,(VLOOKUP($B230,Water!$B$2:$L$235,11,FALSE)),"")</f>
        <v/>
      </c>
      <c r="D230" s="29" t="str">
        <f>IF(COUNT(VLOOKUP($B230,Food!$B$2:$K$236,10,FALSE)&amp;"")=1,VLOOKUP($B230,Food!$B$2:$K$236,10,FALSE),"")</f>
        <v/>
      </c>
      <c r="E230" s="29" t="str">
        <f>IF(COUNT(VLOOKUP($B230,Housing!$B$2:$L$236,11,FALSE)&amp;"")=1,VLOOKUP($B230,Housing!$B$2:$L$236,11,FALSE),"")</f>
        <v/>
      </c>
      <c r="F230" s="29" t="str">
        <f>IF(COUNT(VLOOKUP($B230,Employment!$B$2:$M$236,12,FALSE)&amp;"")=1,VLOOKUP($B230,Employment!$B$2:$M$236,12,FALSE),"")</f>
        <v/>
      </c>
      <c r="G230" s="29" t="str">
        <f>IF(COUNT(VLOOKUP($B230,Education!$B$2:$L$236,11,FALSE)&amp;"")=1,VLOOKUP($B230,Education!$B$2:$L$236,11,FALSE),"")</f>
        <v/>
      </c>
      <c r="H230" s="29" t="str">
        <f>IF(COUNT(VLOOKUP($B230,Gender!$B$2:$K$236,10,FALSE)&amp;"")=1,VLOOKUP($B230,Gender!$B$2:$K$236,10,FALSE),"")</f>
        <v/>
      </c>
      <c r="I230" s="29" t="str">
        <f>IF(COUNT(VLOOKUP($B230,'Religious Freedom'!$B$2:$K$200,10,FALSE)&amp;"")=1,VLOOKUP($B230,'Religious Freedom'!$B$2:$K$200,10,FALSE),"")</f>
        <v/>
      </c>
    </row>
    <row r="231" ht="14.25" customHeight="1">
      <c r="A231" s="22" t="s">
        <v>453</v>
      </c>
      <c r="B231" s="22" t="s">
        <v>454</v>
      </c>
      <c r="C231" s="29" t="str">
        <f>IF(COUNT(VLOOKUP($B231,Water!$B$2:$L$235,11,FALSE)&amp;"")=1,(VLOOKUP($B231,Water!$B$2:$L$235,11,FALSE)),"")</f>
        <v/>
      </c>
      <c r="D231" s="29" t="str">
        <f>IF(COUNT(VLOOKUP($B231,Food!$B$2:$K$236,10,FALSE)&amp;"")=1,VLOOKUP($B231,Food!$B$2:$K$236,10,FALSE),"")</f>
        <v/>
      </c>
      <c r="E231" s="29" t="str">
        <f>IF(COUNT(VLOOKUP($B231,Housing!$B$2:$L$236,11,FALSE)&amp;"")=1,VLOOKUP($B231,Housing!$B$2:$L$236,11,FALSE),"")</f>
        <v/>
      </c>
      <c r="F231" s="29" t="str">
        <f>IF(COUNT(VLOOKUP($B231,Employment!$B$2:$M$236,12,FALSE)&amp;"")=1,VLOOKUP($B231,Employment!$B$2:$M$236,12,FALSE),"")</f>
        <v/>
      </c>
      <c r="G231" s="29" t="str">
        <f>IF(COUNT(VLOOKUP($B231,Education!$B$2:$L$236,11,FALSE)&amp;"")=1,VLOOKUP($B231,Education!$B$2:$L$236,11,FALSE),"")</f>
        <v/>
      </c>
      <c r="H231" s="29" t="str">
        <f>IF(COUNT(VLOOKUP($B231,Gender!$B$2:$K$236,10,FALSE)&amp;"")=1,VLOOKUP($B231,Gender!$B$2:$K$236,10,FALSE),"")</f>
        <v/>
      </c>
      <c r="I231" s="29" t="str">
        <f>IF(COUNT(VLOOKUP($B231,'Religious Freedom'!$B$2:$K$200,10,FALSE)&amp;"")=1,VLOOKUP($B231,'Religious Freedom'!$B$2:$K$200,10,FALSE),"")</f>
        <v/>
      </c>
    </row>
    <row r="232" ht="14.25" customHeight="1">
      <c r="A232" s="22" t="s">
        <v>455</v>
      </c>
      <c r="B232" s="22" t="s">
        <v>456</v>
      </c>
      <c r="C232" s="29" t="str">
        <f>IF(COUNT(VLOOKUP($B232,Water!$B$2:$L$235,11,FALSE)&amp;"")=1,(VLOOKUP($B232,Water!$B$2:$L$235,11,FALSE)),"")</f>
        <v/>
      </c>
      <c r="D232" s="29" t="str">
        <f>IF(COUNT(VLOOKUP($B232,Food!$B$2:$K$236,10,FALSE)&amp;"")=1,VLOOKUP($B232,Food!$B$2:$K$236,10,FALSE),"")</f>
        <v/>
      </c>
      <c r="E232" s="29" t="str">
        <f>IF(COUNT(VLOOKUP($B232,Housing!$B$2:$L$236,11,FALSE)&amp;"")=1,VLOOKUP($B232,Housing!$B$2:$L$236,11,FALSE),"")</f>
        <v/>
      </c>
      <c r="F232" s="29" t="str">
        <f>IF(COUNT(VLOOKUP($B232,Employment!$B$2:$M$236,12,FALSE)&amp;"")=1,VLOOKUP($B232,Employment!$B$2:$M$236,12,FALSE),"")</f>
        <v/>
      </c>
      <c r="G232" s="29" t="str">
        <f>IF(COUNT(VLOOKUP($B232,Education!$B$2:$L$236,11,FALSE)&amp;"")=1,VLOOKUP($B232,Education!$B$2:$L$236,11,FALSE),"")</f>
        <v/>
      </c>
      <c r="H232" s="29" t="str">
        <f>IF(COUNT(VLOOKUP($B232,Gender!$B$2:$K$236,10,FALSE)&amp;"")=1,VLOOKUP($B232,Gender!$B$2:$K$236,10,FALSE),"")</f>
        <v/>
      </c>
      <c r="I232" s="29" t="str">
        <f>IF(COUNT(VLOOKUP($B232,'Religious Freedom'!$B$2:$K$200,10,FALSE)&amp;"")=1,VLOOKUP($B232,'Religious Freedom'!$B$2:$K$200,10,FALSE),"")</f>
        <v/>
      </c>
    </row>
    <row r="233" ht="14.25" customHeight="1">
      <c r="A233" s="22" t="s">
        <v>457</v>
      </c>
      <c r="B233" s="22" t="s">
        <v>458</v>
      </c>
      <c r="C233" s="29" t="str">
        <f>IF(COUNT(VLOOKUP($B233,Water!$B$2:$L$235,11,FALSE)&amp;"")=1,(VLOOKUP($B233,Water!$B$2:$L$235,11,FALSE)),"")</f>
        <v/>
      </c>
      <c r="D233" s="29" t="str">
        <f>IF(COUNT(VLOOKUP($B233,Food!$B$2:$K$236,10,FALSE)&amp;"")=1,VLOOKUP($B233,Food!$B$2:$K$236,10,FALSE),"")</f>
        <v/>
      </c>
      <c r="E233" s="29" t="str">
        <f>IF(COUNT(VLOOKUP($B233,Housing!$B$2:$L$236,11,FALSE)&amp;"")=1,VLOOKUP($B233,Housing!$B$2:$L$236,11,FALSE),"")</f>
        <v/>
      </c>
      <c r="F233" s="29" t="str">
        <f>IF(COUNT(VLOOKUP($B233,Employment!$B$2:$M$236,12,FALSE)&amp;"")=1,VLOOKUP($B233,Employment!$B$2:$M$236,12,FALSE),"")</f>
        <v/>
      </c>
      <c r="G233" s="29" t="str">
        <f>IF(COUNT(VLOOKUP($B233,Education!$B$2:$L$236,11,FALSE)&amp;"")=1,VLOOKUP($B233,Education!$B$2:$L$236,11,FALSE),"")</f>
        <v/>
      </c>
      <c r="H233" s="29" t="str">
        <f>IF(COUNT(VLOOKUP($B233,Gender!$B$2:$K$236,10,FALSE)&amp;"")=1,VLOOKUP($B233,Gender!$B$2:$K$236,10,FALSE),"")</f>
        <v/>
      </c>
      <c r="I233" s="29" t="str">
        <f>IF(COUNT(VLOOKUP($B233,'Religious Freedom'!$B$2:$K$200,10,FALSE)&amp;"")=1,VLOOKUP($B233,'Religious Freedom'!$B$2:$K$200,10,FALSE),"")</f>
        <v/>
      </c>
    </row>
    <row r="234" ht="14.25" customHeight="1">
      <c r="A234" s="22" t="s">
        <v>459</v>
      </c>
      <c r="B234" s="22" t="s">
        <v>460</v>
      </c>
      <c r="C234" s="29" t="str">
        <f>IF(COUNT(VLOOKUP($B234,Water!$B$2:$L$235,11,FALSE)&amp;"")=1,(VLOOKUP($B234,Water!$B$2:$L$235,11,FALSE)),"")</f>
        <v/>
      </c>
      <c r="D234" s="29" t="str">
        <f>IF(COUNT(VLOOKUP($B234,Food!$B$2:$K$236,10,FALSE)&amp;"")=1,VLOOKUP($B234,Food!$B$2:$K$236,10,FALSE),"")</f>
        <v/>
      </c>
      <c r="E234" s="29" t="str">
        <f>IF(COUNT(VLOOKUP($B234,Housing!$B$2:$L$236,11,FALSE)&amp;"")=1,VLOOKUP($B234,Housing!$B$2:$L$236,11,FALSE),"")</f>
        <v/>
      </c>
      <c r="F234" s="29" t="str">
        <f>IF(COUNT(VLOOKUP($B234,Employment!$B$2:$M$236,12,FALSE)&amp;"")=1,VLOOKUP($B234,Employment!$B$2:$M$236,12,FALSE),"")</f>
        <v/>
      </c>
      <c r="G234" s="29" t="str">
        <f>IF(COUNT(VLOOKUP($B234,Education!$B$2:$L$236,11,FALSE)&amp;"")=1,VLOOKUP($B234,Education!$B$2:$L$236,11,FALSE),"")</f>
        <v/>
      </c>
      <c r="H234" s="29" t="str">
        <f>IF(COUNT(VLOOKUP($B234,Gender!$B$2:$K$236,10,FALSE)&amp;"")=1,VLOOKUP($B234,Gender!$B$2:$K$236,10,FALSE),"")</f>
        <v/>
      </c>
      <c r="I234" s="29" t="str">
        <f>IF(COUNT(VLOOKUP($B234,'Religious Freedom'!$B$2:$K$200,10,FALSE)&amp;"")=1,VLOOKUP($B234,'Religious Freedom'!$B$2:$K$200,10,FALSE),"")</f>
        <v/>
      </c>
    </row>
    <row r="235" ht="14.25" customHeight="1">
      <c r="A235" s="22" t="s">
        <v>461</v>
      </c>
      <c r="B235" s="22" t="s">
        <v>462</v>
      </c>
      <c r="C235" s="29" t="str">
        <f>IF(COUNT(VLOOKUP($B235,Water!$B$2:$L$235,11,FALSE)&amp;"")=1,(VLOOKUP($B235,Water!$B$2:$L$235,11,FALSE)),"")</f>
        <v/>
      </c>
      <c r="D235" s="29" t="str">
        <f>IF(COUNT(VLOOKUP($B235,Food!$B$2:$K$236,10,FALSE)&amp;"")=1,VLOOKUP($B235,Food!$B$2:$K$236,10,FALSE),"")</f>
        <v/>
      </c>
      <c r="E235" s="29" t="str">
        <f>IF(COUNT(VLOOKUP($B235,Housing!$B$2:$L$236,11,FALSE)&amp;"")=1,VLOOKUP($B235,Housing!$B$2:$L$236,11,FALSE),"")</f>
        <v/>
      </c>
      <c r="F235" s="29" t="str">
        <f>IF(COUNT(VLOOKUP($B235,Employment!$B$2:$M$236,12,FALSE)&amp;"")=1,VLOOKUP($B235,Employment!$B$2:$M$236,12,FALSE),"")</f>
        <v/>
      </c>
      <c r="G235" s="29" t="str">
        <f>IF(COUNT(VLOOKUP($B235,Education!$B$2:$L$236,11,FALSE)&amp;"")=1,VLOOKUP($B235,Education!$B$2:$L$236,11,FALSE),"")</f>
        <v/>
      </c>
      <c r="H235" s="29" t="str">
        <f>IF(COUNT(VLOOKUP($B235,Gender!$B$2:$K$236,10,FALSE)&amp;"")=1,VLOOKUP($B235,Gender!$B$2:$K$236,10,FALSE),"")</f>
        <v/>
      </c>
      <c r="I235" s="29" t="str">
        <f>IF(COUNT(VLOOKUP($B235,'Religious Freedom'!$B$2:$K$200,10,FALSE)&amp;"")=1,VLOOKUP($B235,'Religious Freedom'!$B$2:$K$200,10,FALSE),"")</f>
        <v/>
      </c>
    </row>
    <row r="236" ht="14.25" customHeight="1">
      <c r="A236" s="22" t="s">
        <v>463</v>
      </c>
      <c r="B236" s="22" t="s">
        <v>464</v>
      </c>
      <c r="C236" s="29" t="str">
        <f>IF(COUNT(VLOOKUP($B236,Water!$B$2:$L$235,11,FALSE)&amp;"")=1,(VLOOKUP($B236,Water!$B$2:$L$235,11,FALSE)),"")</f>
        <v/>
      </c>
      <c r="D236" s="29" t="str">
        <f>IF(COUNT(VLOOKUP($B236,Food!$B$2:$K$236,10,FALSE)&amp;"")=1,VLOOKUP($B236,Food!$B$2:$K$236,10,FALSE),"")</f>
        <v/>
      </c>
      <c r="E236" s="29" t="str">
        <f>IF(COUNT(VLOOKUP($B236,Housing!$B$2:$L$236,11,FALSE)&amp;"")=1,VLOOKUP($B236,Housing!$B$2:$L$236,11,FALSE),"")</f>
        <v/>
      </c>
      <c r="F236" s="29" t="str">
        <f>IF(COUNT(VLOOKUP($B236,Employment!$B$2:$M$236,12,FALSE)&amp;"")=1,VLOOKUP($B236,Employment!$B$2:$M$236,12,FALSE),"")</f>
        <v/>
      </c>
      <c r="G236" s="29" t="str">
        <f>IF(COUNT(VLOOKUP($B236,Education!$B$2:$L$236,11,FALSE)&amp;"")=1,VLOOKUP($B236,Education!$B$2:$L$236,11,FALSE),"")</f>
        <v/>
      </c>
      <c r="H236" s="29" t="str">
        <f>IF(COUNT(VLOOKUP($B236,Gender!$B$2:$K$236,10,FALSE)&amp;"")=1,VLOOKUP($B236,Gender!$B$2:$K$236,10,FALSE),"")</f>
        <v/>
      </c>
      <c r="I236" s="29" t="str">
        <f>IF(COUNT(VLOOKUP($B236,'Religious Freedom'!$B$2:$K$200,10,FALSE)&amp;"")=1,VLOOKUP($B236,'Religious Freedom'!$B$2:$K$200,10,FALSE),"")</f>
        <v/>
      </c>
    </row>
    <row r="237" ht="14.25" customHeight="1">
      <c r="A237" s="22" t="s">
        <v>465</v>
      </c>
      <c r="B237" s="22" t="s">
        <v>466</v>
      </c>
      <c r="C237" s="29" t="str">
        <f>IF(COUNT(VLOOKUP($B237,Water!$B$2:$L$235,11,FALSE)&amp;"")=1,(VLOOKUP($B237,Water!$B$2:$L$235,11,FALSE)),"")</f>
        <v/>
      </c>
      <c r="D237" s="29" t="str">
        <f>IF(COUNT(VLOOKUP($B237,Food!$B$2:$K$236,10,FALSE)&amp;"")=1,VLOOKUP($B237,Food!$B$2:$K$236,10,FALSE),"")</f>
        <v/>
      </c>
      <c r="E237" s="29" t="str">
        <f>IF(COUNT(VLOOKUP($B237,Housing!$B$2:$L$236,11,FALSE)&amp;"")=1,VLOOKUP($B237,Housing!$B$2:$L$236,11,FALSE),"")</f>
        <v/>
      </c>
      <c r="F237" s="29" t="str">
        <f>IF(COUNT(VLOOKUP($B237,Employment!$B$2:$M$236,12,FALSE)&amp;"")=1,VLOOKUP($B237,Employment!$B$2:$M$236,12,FALSE),"")</f>
        <v/>
      </c>
      <c r="G237" s="29" t="str">
        <f>IF(COUNT(VLOOKUP($B237,Education!$B$2:$L$236,11,FALSE)&amp;"")=1,VLOOKUP($B237,Education!$B$2:$L$236,11,FALSE),"")</f>
        <v/>
      </c>
      <c r="H237" s="29" t="str">
        <f>IF(COUNT(VLOOKUP($B237,Gender!$B$2:$K$236,10,FALSE)&amp;"")=1,VLOOKUP($B237,Gender!$B$2:$K$236,10,FALSE),"")</f>
        <v/>
      </c>
      <c r="I237" s="29" t="str">
        <f>IF(COUNT(VLOOKUP($B237,'Religious Freedom'!$B$2:$K$200,10,FALSE)&amp;"")=1,VLOOKUP($B237,'Religious Freedom'!$B$2:$K$200,10,FALSE),"")</f>
        <v/>
      </c>
    </row>
    <row r="238" ht="14.25" customHeight="1">
      <c r="A238" s="22" t="s">
        <v>467</v>
      </c>
      <c r="B238" s="22" t="s">
        <v>468</v>
      </c>
      <c r="C238" s="29" t="str">
        <f>IF(COUNT(VLOOKUP($B238,Water!$B$2:$L$235,11,FALSE)&amp;"")=1,(VLOOKUP($B238,Water!$B$2:$L$235,11,FALSE)),"")</f>
        <v/>
      </c>
      <c r="D238" s="29" t="str">
        <f>IF(COUNT(VLOOKUP($B238,Food!$B$2:$K$236,10,FALSE)&amp;"")=1,VLOOKUP($B238,Food!$B$2:$K$236,10,FALSE),"")</f>
        <v/>
      </c>
      <c r="E238" s="29" t="str">
        <f>IF(COUNT(VLOOKUP($B238,Housing!$B$2:$L$236,11,FALSE)&amp;"")=1,VLOOKUP($B238,Housing!$B$2:$L$236,11,FALSE),"")</f>
        <v/>
      </c>
      <c r="F238" s="29" t="str">
        <f>IF(COUNT(VLOOKUP($B238,Employment!$B$2:$M$236,12,FALSE)&amp;"")=1,VLOOKUP($B238,Employment!$B$2:$M$236,12,FALSE),"")</f>
        <v/>
      </c>
      <c r="G238" s="29" t="str">
        <f>IF(COUNT(VLOOKUP($B238,Education!$B$2:$L$236,11,FALSE)&amp;"")=1,VLOOKUP($B238,Education!$B$2:$L$236,11,FALSE),"")</f>
        <v/>
      </c>
      <c r="H238" s="29" t="str">
        <f>IF(COUNT(VLOOKUP($B238,Gender!$B$2:$K$236,10,FALSE)&amp;"")=1,VLOOKUP($B238,Gender!$B$2:$K$236,10,FALSE),"")</f>
        <v/>
      </c>
      <c r="I238" s="29" t="str">
        <f>IF(COUNT(VLOOKUP($B238,'Religious Freedom'!$B$2:$K$200,10,FALSE)&amp;"")=1,VLOOKUP($B238,'Religious Freedom'!$B$2:$K$200,10,FALSE),"")</f>
        <v/>
      </c>
    </row>
    <row r="239" ht="14.25" customHeight="1">
      <c r="C239" s="29"/>
      <c r="D239" s="29"/>
      <c r="E239" s="29"/>
      <c r="F239" s="29"/>
      <c r="G239" s="29"/>
      <c r="H239" s="29"/>
      <c r="I239" s="29"/>
    </row>
    <row r="240" ht="14.25" customHeight="1">
      <c r="A240" s="11" t="s">
        <v>469</v>
      </c>
      <c r="C240" s="29">
        <f t="shared" ref="C240:I240" si="1">COUNT(C4:C238)</f>
        <v>0</v>
      </c>
      <c r="D240" s="29">
        <f t="shared" si="1"/>
        <v>0</v>
      </c>
      <c r="E240" s="29">
        <f t="shared" si="1"/>
        <v>0</v>
      </c>
      <c r="F240" s="29">
        <f t="shared" si="1"/>
        <v>0</v>
      </c>
      <c r="G240" s="29">
        <f t="shared" si="1"/>
        <v>0</v>
      </c>
      <c r="H240" s="29">
        <f t="shared" si="1"/>
        <v>0</v>
      </c>
      <c r="I240" s="29">
        <f t="shared" si="1"/>
        <v>0</v>
      </c>
    </row>
    <row r="241" ht="14.25" customHeight="1">
      <c r="C241" s="29"/>
      <c r="D241" s="29"/>
      <c r="E241" s="29"/>
      <c r="F241" s="29"/>
      <c r="G241" s="29"/>
      <c r="H241" s="29"/>
      <c r="I241" s="29"/>
    </row>
    <row r="242" ht="14.25" customHeight="1">
      <c r="C242" s="29"/>
      <c r="D242" s="29"/>
      <c r="E242" s="29"/>
      <c r="F242" s="29"/>
      <c r="G242" s="29"/>
      <c r="H242" s="29"/>
      <c r="I242" s="29"/>
    </row>
    <row r="243" ht="14.25" customHeight="1">
      <c r="C243" s="29"/>
      <c r="D243" s="29"/>
      <c r="E243" s="29"/>
      <c r="F243" s="29"/>
      <c r="G243" s="29"/>
      <c r="H243" s="29"/>
      <c r="I243" s="29"/>
    </row>
    <row r="244" ht="14.25" customHeight="1">
      <c r="C244" s="29"/>
      <c r="D244" s="29"/>
      <c r="E244" s="29"/>
      <c r="F244" s="29"/>
      <c r="G244" s="29"/>
      <c r="H244" s="29"/>
      <c r="I244" s="29"/>
    </row>
    <row r="245" ht="14.25" customHeight="1">
      <c r="C245" s="29"/>
      <c r="D245" s="29"/>
      <c r="E245" s="29"/>
      <c r="F245" s="29"/>
      <c r="G245" s="29"/>
      <c r="H245" s="29"/>
      <c r="I245" s="29"/>
    </row>
    <row r="246" ht="14.25" customHeight="1">
      <c r="C246" s="29"/>
      <c r="D246" s="29"/>
      <c r="E246" s="29"/>
      <c r="F246" s="29"/>
      <c r="G246" s="29"/>
      <c r="H246" s="29"/>
      <c r="I246" s="29"/>
    </row>
    <row r="247" ht="14.25" customHeight="1">
      <c r="C247" s="29"/>
      <c r="D247" s="29"/>
      <c r="E247" s="29"/>
      <c r="F247" s="29"/>
      <c r="G247" s="29"/>
      <c r="H247" s="29"/>
      <c r="I247" s="29"/>
    </row>
    <row r="248" ht="14.25" customHeight="1">
      <c r="C248" s="29"/>
      <c r="D248" s="29"/>
      <c r="E248" s="29"/>
      <c r="F248" s="29"/>
      <c r="G248" s="29"/>
      <c r="H248" s="29"/>
      <c r="I248" s="29"/>
    </row>
    <row r="249" ht="14.25" customHeight="1">
      <c r="C249" s="29"/>
      <c r="D249" s="29"/>
      <c r="E249" s="29"/>
      <c r="F249" s="29"/>
      <c r="G249" s="29"/>
      <c r="H249" s="29"/>
      <c r="I249" s="29"/>
    </row>
    <row r="250" ht="14.25" customHeight="1">
      <c r="C250" s="29"/>
      <c r="D250" s="29"/>
      <c r="E250" s="29"/>
      <c r="F250" s="29"/>
      <c r="G250" s="29"/>
      <c r="H250" s="29"/>
      <c r="I250" s="29"/>
    </row>
    <row r="251" ht="14.25" customHeight="1">
      <c r="C251" s="29"/>
      <c r="D251" s="29"/>
      <c r="E251" s="29"/>
      <c r="F251" s="29"/>
      <c r="G251" s="29"/>
      <c r="H251" s="29"/>
      <c r="I251" s="29"/>
    </row>
    <row r="252" ht="14.25" customHeight="1">
      <c r="C252" s="29"/>
      <c r="D252" s="29"/>
      <c r="E252" s="29"/>
      <c r="F252" s="29"/>
      <c r="G252" s="29"/>
      <c r="H252" s="29"/>
      <c r="I252" s="29"/>
    </row>
    <row r="253" ht="14.25" customHeight="1">
      <c r="C253" s="29"/>
      <c r="D253" s="29"/>
      <c r="E253" s="29"/>
      <c r="F253" s="29"/>
      <c r="G253" s="29"/>
      <c r="H253" s="29"/>
      <c r="I253" s="29"/>
    </row>
    <row r="254" ht="14.25" customHeight="1">
      <c r="C254" s="29"/>
      <c r="D254" s="29"/>
      <c r="E254" s="29"/>
      <c r="F254" s="29"/>
      <c r="G254" s="29"/>
      <c r="H254" s="29"/>
      <c r="I254" s="29"/>
    </row>
    <row r="255" ht="14.25" customHeight="1">
      <c r="C255" s="29"/>
      <c r="D255" s="29"/>
      <c r="E255" s="29"/>
      <c r="F255" s="29"/>
      <c r="G255" s="29"/>
      <c r="H255" s="29"/>
      <c r="I255" s="29"/>
    </row>
    <row r="256" ht="14.25" customHeight="1">
      <c r="C256" s="29"/>
      <c r="D256" s="29"/>
      <c r="E256" s="29"/>
      <c r="F256" s="29"/>
      <c r="G256" s="29"/>
      <c r="H256" s="29"/>
      <c r="I256" s="29"/>
    </row>
    <row r="257" ht="14.25" customHeight="1">
      <c r="C257" s="29"/>
      <c r="D257" s="29"/>
      <c r="E257" s="29"/>
      <c r="F257" s="29"/>
      <c r="G257" s="29"/>
      <c r="H257" s="29"/>
      <c r="I257" s="29"/>
    </row>
    <row r="258" ht="14.25" customHeight="1">
      <c r="C258" s="29"/>
      <c r="D258" s="29"/>
      <c r="E258" s="29"/>
      <c r="F258" s="29"/>
      <c r="G258" s="29"/>
      <c r="H258" s="29"/>
      <c r="I258" s="29"/>
    </row>
    <row r="259" ht="14.25" customHeight="1">
      <c r="C259" s="29"/>
      <c r="D259" s="29"/>
      <c r="E259" s="29"/>
      <c r="F259" s="29"/>
      <c r="G259" s="29"/>
      <c r="H259" s="29"/>
      <c r="I259" s="29"/>
    </row>
    <row r="260" ht="14.25" customHeight="1">
      <c r="C260" s="29"/>
      <c r="D260" s="29"/>
      <c r="E260" s="29"/>
      <c r="F260" s="29"/>
      <c r="G260" s="29"/>
      <c r="H260" s="29"/>
      <c r="I260" s="29"/>
    </row>
    <row r="261" ht="14.25" customHeight="1">
      <c r="C261" s="29"/>
      <c r="D261" s="29"/>
      <c r="E261" s="29"/>
      <c r="F261" s="29"/>
      <c r="G261" s="29"/>
      <c r="H261" s="29"/>
      <c r="I261" s="29"/>
    </row>
    <row r="262" ht="14.25" customHeight="1">
      <c r="C262" s="29"/>
      <c r="D262" s="29"/>
      <c r="E262" s="29"/>
      <c r="F262" s="29"/>
      <c r="G262" s="29"/>
      <c r="H262" s="29"/>
      <c r="I262" s="29"/>
    </row>
    <row r="263" ht="14.25" customHeight="1">
      <c r="C263" s="29"/>
      <c r="D263" s="29"/>
      <c r="E263" s="29"/>
      <c r="F263" s="29"/>
      <c r="G263" s="29"/>
      <c r="H263" s="29"/>
      <c r="I263" s="29"/>
    </row>
    <row r="264" ht="14.25" customHeight="1">
      <c r="C264" s="29"/>
      <c r="D264" s="29"/>
      <c r="E264" s="29"/>
      <c r="F264" s="29"/>
      <c r="G264" s="29"/>
      <c r="H264" s="29"/>
      <c r="I264" s="29"/>
    </row>
    <row r="265" ht="14.25" customHeight="1">
      <c r="C265" s="29"/>
      <c r="D265" s="29"/>
      <c r="E265" s="29"/>
      <c r="F265" s="29"/>
      <c r="G265" s="29"/>
      <c r="H265" s="29"/>
      <c r="I265" s="29"/>
    </row>
    <row r="266" ht="14.25" customHeight="1">
      <c r="C266" s="29"/>
      <c r="D266" s="29"/>
      <c r="E266" s="29"/>
      <c r="F266" s="29"/>
      <c r="G266" s="29"/>
      <c r="H266" s="29"/>
      <c r="I266" s="29"/>
    </row>
    <row r="267" ht="14.25" customHeight="1">
      <c r="C267" s="29"/>
      <c r="D267" s="29"/>
      <c r="E267" s="29"/>
      <c r="F267" s="29"/>
      <c r="G267" s="29"/>
      <c r="H267" s="29"/>
      <c r="I267" s="29"/>
    </row>
    <row r="268" ht="14.25" customHeight="1">
      <c r="C268" s="29"/>
      <c r="D268" s="29"/>
      <c r="E268" s="29"/>
      <c r="F268" s="29"/>
      <c r="G268" s="29"/>
      <c r="H268" s="29"/>
      <c r="I268" s="29"/>
    </row>
    <row r="269" ht="14.25" customHeight="1">
      <c r="C269" s="29"/>
      <c r="D269" s="29"/>
      <c r="E269" s="29"/>
      <c r="F269" s="29"/>
      <c r="G269" s="29"/>
      <c r="H269" s="29"/>
      <c r="I269" s="29"/>
    </row>
    <row r="270" ht="14.25" customHeight="1">
      <c r="C270" s="29"/>
      <c r="D270" s="29"/>
      <c r="E270" s="29"/>
      <c r="F270" s="29"/>
      <c r="G270" s="29"/>
      <c r="H270" s="29"/>
      <c r="I270" s="29"/>
    </row>
    <row r="271" ht="14.25" customHeight="1">
      <c r="C271" s="29"/>
      <c r="D271" s="29"/>
      <c r="E271" s="29"/>
      <c r="F271" s="29"/>
      <c r="G271" s="29"/>
      <c r="H271" s="29"/>
      <c r="I271" s="29"/>
    </row>
    <row r="272" ht="14.25" customHeight="1">
      <c r="C272" s="29"/>
      <c r="D272" s="29"/>
      <c r="E272" s="29"/>
      <c r="F272" s="29"/>
      <c r="G272" s="29"/>
      <c r="H272" s="29"/>
      <c r="I272" s="29"/>
    </row>
    <row r="273" ht="14.25" customHeight="1">
      <c r="C273" s="29"/>
      <c r="D273" s="29"/>
      <c r="E273" s="29"/>
      <c r="F273" s="29"/>
      <c r="G273" s="29"/>
      <c r="H273" s="29"/>
      <c r="I273" s="29"/>
    </row>
    <row r="274" ht="14.25" customHeight="1">
      <c r="C274" s="29"/>
      <c r="D274" s="29"/>
      <c r="E274" s="29"/>
      <c r="F274" s="29"/>
      <c r="G274" s="29"/>
      <c r="H274" s="29"/>
      <c r="I274" s="29"/>
    </row>
    <row r="275" ht="14.25" customHeight="1">
      <c r="C275" s="29"/>
      <c r="D275" s="29"/>
      <c r="E275" s="29"/>
      <c r="F275" s="29"/>
      <c r="G275" s="29"/>
      <c r="H275" s="29"/>
      <c r="I275" s="29"/>
    </row>
    <row r="276" ht="14.25" customHeight="1">
      <c r="C276" s="29"/>
      <c r="D276" s="29"/>
      <c r="E276" s="29"/>
      <c r="F276" s="29"/>
      <c r="G276" s="29"/>
      <c r="H276" s="29"/>
      <c r="I276" s="29"/>
    </row>
    <row r="277" ht="14.25" customHeight="1">
      <c r="C277" s="29"/>
      <c r="D277" s="29"/>
      <c r="E277" s="29"/>
      <c r="F277" s="29"/>
      <c r="G277" s="29"/>
      <c r="H277" s="29"/>
      <c r="I277" s="29"/>
    </row>
    <row r="278" ht="14.25" customHeight="1">
      <c r="C278" s="29"/>
      <c r="D278" s="29"/>
      <c r="E278" s="29"/>
      <c r="F278" s="29"/>
      <c r="G278" s="29"/>
      <c r="H278" s="29"/>
      <c r="I278" s="29"/>
    </row>
    <row r="279" ht="14.25" customHeight="1">
      <c r="C279" s="29"/>
      <c r="D279" s="29"/>
      <c r="E279" s="29"/>
      <c r="F279" s="29"/>
      <c r="G279" s="29"/>
      <c r="H279" s="29"/>
      <c r="I279" s="29"/>
    </row>
    <row r="280" ht="14.25" customHeight="1">
      <c r="C280" s="29"/>
      <c r="D280" s="29"/>
      <c r="E280" s="29"/>
      <c r="F280" s="29"/>
      <c r="G280" s="29"/>
      <c r="H280" s="29"/>
      <c r="I280" s="29"/>
    </row>
    <row r="281" ht="14.25" customHeight="1">
      <c r="C281" s="29"/>
      <c r="D281" s="29"/>
      <c r="E281" s="29"/>
      <c r="F281" s="29"/>
      <c r="G281" s="29"/>
      <c r="H281" s="29"/>
      <c r="I281" s="29"/>
    </row>
    <row r="282" ht="14.25" customHeight="1">
      <c r="C282" s="29"/>
      <c r="D282" s="29"/>
      <c r="E282" s="29"/>
      <c r="F282" s="29"/>
      <c r="G282" s="29"/>
      <c r="H282" s="29"/>
      <c r="I282" s="29"/>
    </row>
    <row r="283" ht="14.25" customHeight="1">
      <c r="C283" s="29"/>
      <c r="D283" s="29"/>
      <c r="E283" s="29"/>
      <c r="F283" s="29"/>
      <c r="G283" s="29"/>
      <c r="H283" s="29"/>
      <c r="I283" s="29"/>
    </row>
    <row r="284" ht="14.25" customHeight="1">
      <c r="C284" s="29"/>
      <c r="D284" s="29"/>
      <c r="E284" s="29"/>
      <c r="F284" s="29"/>
      <c r="G284" s="29"/>
      <c r="H284" s="29"/>
      <c r="I284" s="29"/>
    </row>
    <row r="285" ht="14.25" customHeight="1">
      <c r="C285" s="29"/>
      <c r="D285" s="29"/>
      <c r="E285" s="29"/>
      <c r="F285" s="29"/>
      <c r="G285" s="29"/>
      <c r="H285" s="29"/>
      <c r="I285" s="29"/>
    </row>
    <row r="286" ht="14.25" customHeight="1">
      <c r="C286" s="29"/>
      <c r="D286" s="29"/>
      <c r="E286" s="29"/>
      <c r="F286" s="29"/>
      <c r="G286" s="29"/>
      <c r="H286" s="29"/>
      <c r="I286" s="29"/>
    </row>
    <row r="287" ht="14.25" customHeight="1">
      <c r="C287" s="29"/>
      <c r="D287" s="29"/>
      <c r="E287" s="29"/>
      <c r="F287" s="29"/>
      <c r="G287" s="29"/>
      <c r="H287" s="29"/>
      <c r="I287" s="29"/>
    </row>
    <row r="288" ht="14.25" customHeight="1">
      <c r="C288" s="29"/>
      <c r="D288" s="29"/>
      <c r="E288" s="29"/>
      <c r="F288" s="29"/>
      <c r="G288" s="29"/>
      <c r="H288" s="29"/>
      <c r="I288" s="29"/>
    </row>
    <row r="289" ht="14.25" customHeight="1">
      <c r="C289" s="29"/>
      <c r="D289" s="29"/>
      <c r="E289" s="29"/>
      <c r="F289" s="29"/>
      <c r="G289" s="29"/>
      <c r="H289" s="29"/>
      <c r="I289" s="29"/>
    </row>
    <row r="290" ht="14.25" customHeight="1">
      <c r="C290" s="29"/>
      <c r="D290" s="29"/>
      <c r="E290" s="29"/>
      <c r="F290" s="29"/>
      <c r="G290" s="29"/>
      <c r="H290" s="29"/>
      <c r="I290" s="29"/>
    </row>
    <row r="291" ht="14.25" customHeight="1">
      <c r="C291" s="29"/>
      <c r="D291" s="29"/>
      <c r="E291" s="29"/>
      <c r="F291" s="29"/>
      <c r="G291" s="29"/>
      <c r="H291" s="29"/>
      <c r="I291" s="29"/>
    </row>
    <row r="292" ht="14.25" customHeight="1">
      <c r="C292" s="29"/>
      <c r="D292" s="29"/>
      <c r="E292" s="29"/>
      <c r="F292" s="29"/>
      <c r="G292" s="29"/>
      <c r="H292" s="29"/>
      <c r="I292" s="29"/>
    </row>
    <row r="293" ht="14.25" customHeight="1">
      <c r="C293" s="29"/>
      <c r="D293" s="29"/>
      <c r="E293" s="29"/>
      <c r="F293" s="29"/>
      <c r="G293" s="29"/>
      <c r="H293" s="29"/>
      <c r="I293" s="29"/>
    </row>
    <row r="294" ht="14.25" customHeight="1">
      <c r="C294" s="29"/>
      <c r="D294" s="29"/>
      <c r="E294" s="29"/>
      <c r="F294" s="29"/>
      <c r="G294" s="29"/>
      <c r="H294" s="29"/>
      <c r="I294" s="29"/>
    </row>
    <row r="295" ht="14.25" customHeight="1">
      <c r="C295" s="29"/>
      <c r="D295" s="29"/>
      <c r="E295" s="29"/>
      <c r="F295" s="29"/>
      <c r="G295" s="29"/>
      <c r="H295" s="29"/>
      <c r="I295" s="29"/>
    </row>
    <row r="296" ht="14.25" customHeight="1">
      <c r="C296" s="29"/>
      <c r="D296" s="29"/>
      <c r="E296" s="29"/>
      <c r="F296" s="29"/>
      <c r="G296" s="29"/>
      <c r="H296" s="29"/>
      <c r="I296" s="29"/>
    </row>
    <row r="297" ht="14.25" customHeight="1">
      <c r="C297" s="29"/>
      <c r="D297" s="29"/>
      <c r="E297" s="29"/>
      <c r="F297" s="29"/>
      <c r="G297" s="29"/>
      <c r="H297" s="29"/>
      <c r="I297" s="29"/>
    </row>
    <row r="298" ht="14.25" customHeight="1">
      <c r="C298" s="29"/>
      <c r="D298" s="29"/>
      <c r="E298" s="29"/>
      <c r="F298" s="29"/>
      <c r="G298" s="29"/>
      <c r="H298" s="29"/>
      <c r="I298" s="29"/>
    </row>
    <row r="299" ht="14.25" customHeight="1">
      <c r="C299" s="29"/>
      <c r="D299" s="29"/>
      <c r="E299" s="29"/>
      <c r="F299" s="29"/>
      <c r="G299" s="29"/>
      <c r="H299" s="29"/>
      <c r="I299" s="29"/>
    </row>
    <row r="300" ht="14.25" customHeight="1">
      <c r="C300" s="29"/>
      <c r="D300" s="29"/>
      <c r="E300" s="29"/>
      <c r="F300" s="29"/>
      <c r="G300" s="29"/>
      <c r="H300" s="29"/>
      <c r="I300" s="29"/>
    </row>
    <row r="301" ht="14.25" customHeight="1">
      <c r="C301" s="29"/>
      <c r="D301" s="29"/>
      <c r="E301" s="29"/>
      <c r="F301" s="29"/>
      <c r="G301" s="29"/>
      <c r="H301" s="29"/>
      <c r="I301" s="29"/>
    </row>
    <row r="302" ht="14.25" customHeight="1">
      <c r="C302" s="29"/>
      <c r="D302" s="29"/>
      <c r="E302" s="29"/>
      <c r="F302" s="29"/>
      <c r="G302" s="29"/>
      <c r="H302" s="29"/>
      <c r="I302" s="29"/>
    </row>
    <row r="303" ht="14.25" customHeight="1">
      <c r="C303" s="29"/>
      <c r="D303" s="29"/>
      <c r="E303" s="29"/>
      <c r="F303" s="29"/>
      <c r="G303" s="29"/>
      <c r="H303" s="29"/>
      <c r="I303" s="29"/>
    </row>
    <row r="304" ht="14.25" customHeight="1">
      <c r="C304" s="29"/>
      <c r="D304" s="29"/>
      <c r="E304" s="29"/>
      <c r="F304" s="29"/>
      <c r="G304" s="29"/>
      <c r="H304" s="29"/>
      <c r="I304" s="29"/>
    </row>
    <row r="305" ht="14.25" customHeight="1">
      <c r="C305" s="29"/>
      <c r="D305" s="29"/>
      <c r="E305" s="29"/>
      <c r="F305" s="29"/>
      <c r="G305" s="29"/>
      <c r="H305" s="29"/>
      <c r="I305" s="29"/>
    </row>
    <row r="306" ht="14.25" customHeight="1">
      <c r="C306" s="29"/>
      <c r="D306" s="29"/>
      <c r="E306" s="29"/>
      <c r="F306" s="29"/>
      <c r="G306" s="29"/>
      <c r="H306" s="29"/>
      <c r="I306" s="29"/>
    </row>
    <row r="307" ht="14.25" customHeight="1">
      <c r="C307" s="29"/>
      <c r="D307" s="29"/>
      <c r="E307" s="29"/>
      <c r="F307" s="29"/>
      <c r="G307" s="29"/>
      <c r="H307" s="29"/>
      <c r="I307" s="29"/>
    </row>
    <row r="308" ht="14.25" customHeight="1">
      <c r="C308" s="29"/>
      <c r="D308" s="29"/>
      <c r="E308" s="29"/>
      <c r="F308" s="29"/>
      <c r="G308" s="29"/>
      <c r="H308" s="29"/>
      <c r="I308" s="29"/>
    </row>
    <row r="309" ht="14.25" customHeight="1">
      <c r="C309" s="29"/>
      <c r="D309" s="29"/>
      <c r="E309" s="29"/>
      <c r="F309" s="29"/>
      <c r="G309" s="29"/>
      <c r="H309" s="29"/>
      <c r="I309" s="29"/>
    </row>
    <row r="310" ht="14.25" customHeight="1">
      <c r="C310" s="29"/>
      <c r="D310" s="29"/>
      <c r="E310" s="29"/>
      <c r="F310" s="29"/>
      <c r="G310" s="29"/>
      <c r="H310" s="29"/>
      <c r="I310" s="29"/>
    </row>
    <row r="311" ht="14.25" customHeight="1">
      <c r="C311" s="29"/>
      <c r="D311" s="29"/>
      <c r="E311" s="29"/>
      <c r="F311" s="29"/>
      <c r="G311" s="29"/>
      <c r="H311" s="29"/>
      <c r="I311" s="29"/>
    </row>
    <row r="312" ht="14.25" customHeight="1">
      <c r="C312" s="29"/>
      <c r="D312" s="29"/>
      <c r="E312" s="29"/>
      <c r="F312" s="29"/>
      <c r="G312" s="29"/>
      <c r="H312" s="29"/>
      <c r="I312" s="29"/>
    </row>
    <row r="313" ht="14.25" customHeight="1">
      <c r="C313" s="29"/>
      <c r="D313" s="29"/>
      <c r="E313" s="29"/>
      <c r="F313" s="29"/>
      <c r="G313" s="29"/>
      <c r="H313" s="29"/>
      <c r="I313" s="29"/>
    </row>
    <row r="314" ht="14.25" customHeight="1">
      <c r="C314" s="29"/>
      <c r="D314" s="29"/>
      <c r="E314" s="29"/>
      <c r="F314" s="29"/>
      <c r="G314" s="29"/>
      <c r="H314" s="29"/>
      <c r="I314" s="29"/>
    </row>
    <row r="315" ht="14.25" customHeight="1">
      <c r="C315" s="29"/>
      <c r="D315" s="29"/>
      <c r="E315" s="29"/>
      <c r="F315" s="29"/>
      <c r="G315" s="29"/>
      <c r="H315" s="29"/>
      <c r="I315" s="29"/>
    </row>
    <row r="316" ht="14.25" customHeight="1">
      <c r="C316" s="29"/>
      <c r="D316" s="29"/>
      <c r="E316" s="29"/>
      <c r="F316" s="29"/>
      <c r="G316" s="29"/>
      <c r="H316" s="29"/>
      <c r="I316" s="29"/>
    </row>
    <row r="317" ht="14.25" customHeight="1">
      <c r="C317" s="29"/>
      <c r="D317" s="29"/>
      <c r="E317" s="29"/>
      <c r="F317" s="29"/>
      <c r="G317" s="29"/>
      <c r="H317" s="29"/>
      <c r="I317" s="29"/>
    </row>
    <row r="318" ht="14.25" customHeight="1">
      <c r="C318" s="29"/>
      <c r="D318" s="29"/>
      <c r="E318" s="29"/>
      <c r="F318" s="29"/>
      <c r="G318" s="29"/>
      <c r="H318" s="29"/>
      <c r="I318" s="29"/>
    </row>
    <row r="319" ht="14.25" customHeight="1">
      <c r="C319" s="29"/>
      <c r="D319" s="29"/>
      <c r="E319" s="29"/>
      <c r="F319" s="29"/>
      <c r="G319" s="29"/>
      <c r="H319" s="29"/>
      <c r="I319" s="29"/>
    </row>
    <row r="320" ht="14.25" customHeight="1">
      <c r="C320" s="29"/>
      <c r="D320" s="29"/>
      <c r="E320" s="29"/>
      <c r="F320" s="29"/>
      <c r="G320" s="29"/>
      <c r="H320" s="29"/>
      <c r="I320" s="29"/>
    </row>
    <row r="321" ht="14.25" customHeight="1">
      <c r="C321" s="29"/>
      <c r="D321" s="29"/>
      <c r="E321" s="29"/>
      <c r="F321" s="29"/>
      <c r="G321" s="29"/>
      <c r="H321" s="29"/>
      <c r="I321" s="29"/>
    </row>
    <row r="322" ht="14.25" customHeight="1">
      <c r="C322" s="29"/>
      <c r="D322" s="29"/>
      <c r="E322" s="29"/>
      <c r="F322" s="29"/>
      <c r="G322" s="29"/>
      <c r="H322" s="29"/>
      <c r="I322" s="29"/>
    </row>
    <row r="323" ht="14.25" customHeight="1">
      <c r="C323" s="29"/>
      <c r="D323" s="29"/>
      <c r="E323" s="29"/>
      <c r="F323" s="29"/>
      <c r="G323" s="29"/>
      <c r="H323" s="29"/>
      <c r="I323" s="29"/>
    </row>
    <row r="324" ht="14.25" customHeight="1">
      <c r="C324" s="29"/>
      <c r="D324" s="29"/>
      <c r="E324" s="29"/>
      <c r="F324" s="29"/>
      <c r="G324" s="29"/>
      <c r="H324" s="29"/>
      <c r="I324" s="29"/>
    </row>
    <row r="325" ht="14.25" customHeight="1">
      <c r="C325" s="29"/>
      <c r="D325" s="29"/>
      <c r="E325" s="29"/>
      <c r="F325" s="29"/>
      <c r="G325" s="29"/>
      <c r="H325" s="29"/>
      <c r="I325" s="29"/>
    </row>
    <row r="326" ht="14.25" customHeight="1">
      <c r="C326" s="29"/>
      <c r="D326" s="29"/>
      <c r="E326" s="29"/>
      <c r="F326" s="29"/>
      <c r="G326" s="29"/>
      <c r="H326" s="29"/>
      <c r="I326" s="29"/>
    </row>
    <row r="327" ht="14.25" customHeight="1">
      <c r="C327" s="29"/>
      <c r="D327" s="29"/>
      <c r="E327" s="29"/>
      <c r="F327" s="29"/>
      <c r="G327" s="29"/>
      <c r="H327" s="29"/>
      <c r="I327" s="29"/>
    </row>
    <row r="328" ht="14.25" customHeight="1">
      <c r="C328" s="29"/>
      <c r="D328" s="29"/>
      <c r="E328" s="29"/>
      <c r="F328" s="29"/>
      <c r="G328" s="29"/>
      <c r="H328" s="29"/>
      <c r="I328" s="29"/>
    </row>
    <row r="329" ht="14.25" customHeight="1">
      <c r="C329" s="29"/>
      <c r="D329" s="29"/>
      <c r="E329" s="29"/>
      <c r="F329" s="29"/>
      <c r="G329" s="29"/>
      <c r="H329" s="29"/>
      <c r="I329" s="29"/>
    </row>
    <row r="330" ht="14.25" customHeight="1">
      <c r="C330" s="29"/>
      <c r="D330" s="29"/>
      <c r="E330" s="29"/>
      <c r="F330" s="29"/>
      <c r="G330" s="29"/>
      <c r="H330" s="29"/>
      <c r="I330" s="29"/>
    </row>
    <row r="331" ht="14.25" customHeight="1">
      <c r="C331" s="29"/>
      <c r="D331" s="29"/>
      <c r="E331" s="29"/>
      <c r="F331" s="29"/>
      <c r="G331" s="29"/>
      <c r="H331" s="29"/>
      <c r="I331" s="29"/>
    </row>
    <row r="332" ht="14.25" customHeight="1">
      <c r="C332" s="29"/>
      <c r="D332" s="29"/>
      <c r="E332" s="29"/>
      <c r="F332" s="29"/>
      <c r="G332" s="29"/>
      <c r="H332" s="29"/>
      <c r="I332" s="29"/>
    </row>
    <row r="333" ht="14.25" customHeight="1">
      <c r="C333" s="29"/>
      <c r="D333" s="29"/>
      <c r="E333" s="29"/>
      <c r="F333" s="29"/>
      <c r="G333" s="29"/>
      <c r="H333" s="29"/>
      <c r="I333" s="29"/>
    </row>
    <row r="334" ht="14.25" customHeight="1">
      <c r="C334" s="29"/>
      <c r="D334" s="29"/>
      <c r="E334" s="29"/>
      <c r="F334" s="29"/>
      <c r="G334" s="29"/>
      <c r="H334" s="29"/>
      <c r="I334" s="29"/>
    </row>
    <row r="335" ht="14.25" customHeight="1">
      <c r="C335" s="29"/>
      <c r="D335" s="29"/>
      <c r="E335" s="29"/>
      <c r="F335" s="29"/>
      <c r="G335" s="29"/>
      <c r="H335" s="29"/>
      <c r="I335" s="29"/>
    </row>
    <row r="336" ht="14.25" customHeight="1">
      <c r="C336" s="29"/>
      <c r="D336" s="29"/>
      <c r="E336" s="29"/>
      <c r="F336" s="29"/>
      <c r="G336" s="29"/>
      <c r="H336" s="29"/>
      <c r="I336" s="29"/>
    </row>
    <row r="337" ht="14.25" customHeight="1">
      <c r="C337" s="29"/>
      <c r="D337" s="29"/>
      <c r="E337" s="29"/>
      <c r="F337" s="29"/>
      <c r="G337" s="29"/>
      <c r="H337" s="29"/>
      <c r="I337" s="29"/>
    </row>
    <row r="338" ht="14.25" customHeight="1">
      <c r="C338" s="29"/>
      <c r="D338" s="29"/>
      <c r="E338" s="29"/>
      <c r="F338" s="29"/>
      <c r="G338" s="29"/>
      <c r="H338" s="29"/>
      <c r="I338" s="29"/>
    </row>
    <row r="339" ht="14.25" customHeight="1">
      <c r="C339" s="29"/>
      <c r="D339" s="29"/>
      <c r="E339" s="29"/>
      <c r="F339" s="29"/>
      <c r="G339" s="29"/>
      <c r="H339" s="29"/>
      <c r="I339" s="29"/>
    </row>
    <row r="340" ht="14.25" customHeight="1">
      <c r="C340" s="29"/>
      <c r="D340" s="29"/>
      <c r="E340" s="29"/>
      <c r="F340" s="29"/>
      <c r="G340" s="29"/>
      <c r="H340" s="29"/>
      <c r="I340" s="29"/>
    </row>
    <row r="341" ht="14.25" customHeight="1">
      <c r="C341" s="29"/>
      <c r="D341" s="29"/>
      <c r="E341" s="29"/>
      <c r="F341" s="29"/>
      <c r="G341" s="29"/>
      <c r="H341" s="29"/>
      <c r="I341" s="29"/>
    </row>
    <row r="342" ht="14.25" customHeight="1">
      <c r="C342" s="29"/>
      <c r="D342" s="29"/>
      <c r="E342" s="29"/>
      <c r="F342" s="29"/>
      <c r="G342" s="29"/>
      <c r="H342" s="29"/>
      <c r="I342" s="29"/>
    </row>
    <row r="343" ht="14.25" customHeight="1">
      <c r="C343" s="29"/>
      <c r="D343" s="29"/>
      <c r="E343" s="29"/>
      <c r="F343" s="29"/>
      <c r="G343" s="29"/>
      <c r="H343" s="29"/>
      <c r="I343" s="29"/>
    </row>
    <row r="344" ht="14.25" customHeight="1">
      <c r="C344" s="29"/>
      <c r="D344" s="29"/>
      <c r="E344" s="29"/>
      <c r="F344" s="29"/>
      <c r="G344" s="29"/>
      <c r="H344" s="29"/>
      <c r="I344" s="29"/>
    </row>
    <row r="345" ht="14.25" customHeight="1">
      <c r="C345" s="29"/>
      <c r="D345" s="29"/>
      <c r="E345" s="29"/>
      <c r="F345" s="29"/>
      <c r="G345" s="29"/>
      <c r="H345" s="29"/>
      <c r="I345" s="29"/>
    </row>
    <row r="346" ht="14.25" customHeight="1">
      <c r="C346" s="29"/>
      <c r="D346" s="29"/>
      <c r="E346" s="29"/>
      <c r="F346" s="29"/>
      <c r="G346" s="29"/>
      <c r="H346" s="29"/>
      <c r="I346" s="29"/>
    </row>
    <row r="347" ht="14.25" customHeight="1">
      <c r="C347" s="29"/>
      <c r="D347" s="29"/>
      <c r="E347" s="29"/>
      <c r="F347" s="29"/>
      <c r="G347" s="29"/>
      <c r="H347" s="29"/>
      <c r="I347" s="29"/>
    </row>
    <row r="348" ht="14.25" customHeight="1">
      <c r="C348" s="29"/>
      <c r="D348" s="29"/>
      <c r="E348" s="29"/>
      <c r="F348" s="29"/>
      <c r="G348" s="29"/>
      <c r="H348" s="29"/>
      <c r="I348" s="29"/>
    </row>
    <row r="349" ht="14.25" customHeight="1">
      <c r="C349" s="29"/>
      <c r="D349" s="29"/>
      <c r="E349" s="29"/>
      <c r="F349" s="29"/>
      <c r="G349" s="29"/>
      <c r="H349" s="29"/>
      <c r="I349" s="29"/>
    </row>
    <row r="350" ht="14.25" customHeight="1">
      <c r="C350" s="29"/>
      <c r="D350" s="29"/>
      <c r="E350" s="29"/>
      <c r="F350" s="29"/>
      <c r="G350" s="29"/>
      <c r="H350" s="29"/>
      <c r="I350" s="29"/>
    </row>
    <row r="351" ht="14.25" customHeight="1">
      <c r="C351" s="29"/>
      <c r="D351" s="29"/>
      <c r="E351" s="29"/>
      <c r="F351" s="29"/>
      <c r="G351" s="29"/>
      <c r="H351" s="29"/>
      <c r="I351" s="29"/>
    </row>
    <row r="352" ht="14.25" customHeight="1">
      <c r="C352" s="29"/>
      <c r="D352" s="29"/>
      <c r="E352" s="29"/>
      <c r="F352" s="29"/>
      <c r="G352" s="29"/>
      <c r="H352" s="29"/>
      <c r="I352" s="29"/>
    </row>
    <row r="353" ht="14.25" customHeight="1">
      <c r="C353" s="29"/>
      <c r="D353" s="29"/>
      <c r="E353" s="29"/>
      <c r="F353" s="29"/>
      <c r="G353" s="29"/>
      <c r="H353" s="29"/>
      <c r="I353" s="29"/>
    </row>
    <row r="354" ht="14.25" customHeight="1">
      <c r="C354" s="29"/>
      <c r="D354" s="29"/>
      <c r="E354" s="29"/>
      <c r="F354" s="29"/>
      <c r="G354" s="29"/>
      <c r="H354" s="29"/>
      <c r="I354" s="29"/>
    </row>
    <row r="355" ht="14.25" customHeight="1">
      <c r="C355" s="29"/>
      <c r="D355" s="29"/>
      <c r="E355" s="29"/>
      <c r="F355" s="29"/>
      <c r="G355" s="29"/>
      <c r="H355" s="29"/>
      <c r="I355" s="29"/>
    </row>
    <row r="356" ht="14.25" customHeight="1">
      <c r="C356" s="29"/>
      <c r="D356" s="29"/>
      <c r="E356" s="29"/>
      <c r="F356" s="29"/>
      <c r="G356" s="29"/>
      <c r="H356" s="29"/>
      <c r="I356" s="29"/>
    </row>
    <row r="357" ht="14.25" customHeight="1">
      <c r="C357" s="29"/>
      <c r="D357" s="29"/>
      <c r="E357" s="29"/>
      <c r="F357" s="29"/>
      <c r="G357" s="29"/>
      <c r="H357" s="29"/>
      <c r="I357" s="29"/>
    </row>
    <row r="358" ht="14.25" customHeight="1">
      <c r="C358" s="29"/>
      <c r="D358" s="29"/>
      <c r="E358" s="29"/>
      <c r="F358" s="29"/>
      <c r="G358" s="29"/>
      <c r="H358" s="29"/>
      <c r="I358" s="29"/>
    </row>
    <row r="359" ht="14.25" customHeight="1">
      <c r="C359" s="29"/>
      <c r="D359" s="29"/>
      <c r="E359" s="29"/>
      <c r="F359" s="29"/>
      <c r="G359" s="29"/>
      <c r="H359" s="29"/>
      <c r="I359" s="29"/>
    </row>
    <row r="360" ht="14.25" customHeight="1">
      <c r="C360" s="29"/>
      <c r="D360" s="29"/>
      <c r="E360" s="29"/>
      <c r="F360" s="29"/>
      <c r="G360" s="29"/>
      <c r="H360" s="29"/>
      <c r="I360" s="29"/>
    </row>
    <row r="361" ht="14.25" customHeight="1">
      <c r="C361" s="29"/>
      <c r="D361" s="29"/>
      <c r="E361" s="29"/>
      <c r="F361" s="29"/>
      <c r="G361" s="29"/>
      <c r="H361" s="29"/>
      <c r="I361" s="29"/>
    </row>
    <row r="362" ht="14.25" customHeight="1">
      <c r="C362" s="29"/>
      <c r="D362" s="29"/>
      <c r="E362" s="29"/>
      <c r="F362" s="29"/>
      <c r="G362" s="29"/>
      <c r="H362" s="29"/>
      <c r="I362" s="29"/>
    </row>
    <row r="363" ht="14.25" customHeight="1">
      <c r="C363" s="29"/>
      <c r="D363" s="29"/>
      <c r="E363" s="29"/>
      <c r="F363" s="29"/>
      <c r="G363" s="29"/>
      <c r="H363" s="29"/>
      <c r="I363" s="29"/>
    </row>
    <row r="364" ht="14.25" customHeight="1">
      <c r="C364" s="29"/>
      <c r="D364" s="29"/>
      <c r="E364" s="29"/>
      <c r="F364" s="29"/>
      <c r="G364" s="29"/>
      <c r="H364" s="29"/>
      <c r="I364" s="29"/>
    </row>
    <row r="365" ht="14.25" customHeight="1">
      <c r="C365" s="29"/>
      <c r="D365" s="29"/>
      <c r="E365" s="29"/>
      <c r="F365" s="29"/>
      <c r="G365" s="29"/>
      <c r="H365" s="29"/>
      <c r="I365" s="29"/>
    </row>
    <row r="366" ht="14.25" customHeight="1">
      <c r="C366" s="29"/>
      <c r="D366" s="29"/>
      <c r="E366" s="29"/>
      <c r="F366" s="29"/>
      <c r="G366" s="29"/>
      <c r="H366" s="29"/>
      <c r="I366" s="29"/>
    </row>
    <row r="367" ht="14.25" customHeight="1">
      <c r="C367" s="29"/>
      <c r="D367" s="29"/>
      <c r="E367" s="29"/>
      <c r="F367" s="29"/>
      <c r="G367" s="29"/>
      <c r="H367" s="29"/>
      <c r="I367" s="29"/>
    </row>
    <row r="368" ht="14.25" customHeight="1">
      <c r="C368" s="29"/>
      <c r="D368" s="29"/>
      <c r="E368" s="29"/>
      <c r="F368" s="29"/>
      <c r="G368" s="29"/>
      <c r="H368" s="29"/>
      <c r="I368" s="29"/>
    </row>
    <row r="369" ht="14.25" customHeight="1">
      <c r="C369" s="29"/>
      <c r="D369" s="29"/>
      <c r="E369" s="29"/>
      <c r="F369" s="29"/>
      <c r="G369" s="29"/>
      <c r="H369" s="29"/>
      <c r="I369" s="29"/>
    </row>
    <row r="370" ht="14.25" customHeight="1">
      <c r="C370" s="29"/>
      <c r="D370" s="29"/>
      <c r="E370" s="29"/>
      <c r="F370" s="29"/>
      <c r="G370" s="29"/>
      <c r="H370" s="29"/>
      <c r="I370" s="29"/>
    </row>
    <row r="371" ht="14.25" customHeight="1">
      <c r="C371" s="29"/>
      <c r="D371" s="29"/>
      <c r="E371" s="29"/>
      <c r="F371" s="29"/>
      <c r="G371" s="29"/>
      <c r="H371" s="29"/>
      <c r="I371" s="29"/>
    </row>
    <row r="372" ht="14.25" customHeight="1">
      <c r="C372" s="29"/>
      <c r="D372" s="29"/>
      <c r="E372" s="29"/>
      <c r="F372" s="29"/>
      <c r="G372" s="29"/>
      <c r="H372" s="29"/>
      <c r="I372" s="29"/>
    </row>
    <row r="373" ht="14.25" customHeight="1">
      <c r="C373" s="29"/>
      <c r="D373" s="29"/>
      <c r="E373" s="29"/>
      <c r="F373" s="29"/>
      <c r="G373" s="29"/>
      <c r="H373" s="29"/>
      <c r="I373" s="29"/>
    </row>
    <row r="374" ht="14.25" customHeight="1">
      <c r="C374" s="29"/>
      <c r="D374" s="29"/>
      <c r="E374" s="29"/>
      <c r="F374" s="29"/>
      <c r="G374" s="29"/>
      <c r="H374" s="29"/>
      <c r="I374" s="29"/>
    </row>
    <row r="375" ht="14.25" customHeight="1">
      <c r="C375" s="29"/>
      <c r="D375" s="29"/>
      <c r="E375" s="29"/>
      <c r="F375" s="29"/>
      <c r="G375" s="29"/>
      <c r="H375" s="29"/>
      <c r="I375" s="29"/>
    </row>
    <row r="376" ht="14.25" customHeight="1">
      <c r="C376" s="29"/>
      <c r="D376" s="29"/>
      <c r="E376" s="29"/>
      <c r="F376" s="29"/>
      <c r="G376" s="29"/>
      <c r="H376" s="29"/>
      <c r="I376" s="29"/>
    </row>
    <row r="377" ht="14.25" customHeight="1">
      <c r="C377" s="29"/>
      <c r="D377" s="29"/>
      <c r="E377" s="29"/>
      <c r="F377" s="29"/>
      <c r="G377" s="29"/>
      <c r="H377" s="29"/>
      <c r="I377" s="29"/>
    </row>
    <row r="378" ht="14.25" customHeight="1">
      <c r="C378" s="29"/>
      <c r="D378" s="29"/>
      <c r="E378" s="29"/>
      <c r="F378" s="29"/>
      <c r="G378" s="29"/>
      <c r="H378" s="29"/>
      <c r="I378" s="29"/>
    </row>
    <row r="379" ht="14.25" customHeight="1">
      <c r="C379" s="29"/>
      <c r="D379" s="29"/>
      <c r="E379" s="29"/>
      <c r="F379" s="29"/>
      <c r="G379" s="29"/>
      <c r="H379" s="29"/>
      <c r="I379" s="29"/>
    </row>
    <row r="380" ht="14.25" customHeight="1">
      <c r="C380" s="29"/>
      <c r="D380" s="29"/>
      <c r="E380" s="29"/>
      <c r="F380" s="29"/>
      <c r="G380" s="29"/>
      <c r="H380" s="29"/>
      <c r="I380" s="29"/>
    </row>
    <row r="381" ht="14.25" customHeight="1">
      <c r="C381" s="29"/>
      <c r="D381" s="29"/>
      <c r="E381" s="29"/>
      <c r="F381" s="29"/>
      <c r="G381" s="29"/>
      <c r="H381" s="29"/>
      <c r="I381" s="29"/>
    </row>
    <row r="382" ht="14.25" customHeight="1">
      <c r="C382" s="29"/>
      <c r="D382" s="29"/>
      <c r="E382" s="29"/>
      <c r="F382" s="29"/>
      <c r="G382" s="29"/>
      <c r="H382" s="29"/>
      <c r="I382" s="29"/>
    </row>
    <row r="383" ht="14.25" customHeight="1">
      <c r="C383" s="29"/>
      <c r="D383" s="29"/>
      <c r="E383" s="29"/>
      <c r="F383" s="29"/>
      <c r="G383" s="29"/>
      <c r="H383" s="29"/>
      <c r="I383" s="29"/>
    </row>
    <row r="384" ht="14.25" customHeight="1">
      <c r="C384" s="29"/>
      <c r="D384" s="29"/>
      <c r="E384" s="29"/>
      <c r="F384" s="29"/>
      <c r="G384" s="29"/>
      <c r="H384" s="29"/>
      <c r="I384" s="29"/>
    </row>
    <row r="385" ht="14.25" customHeight="1">
      <c r="C385" s="29"/>
      <c r="D385" s="29"/>
      <c r="E385" s="29"/>
      <c r="F385" s="29"/>
      <c r="G385" s="29"/>
      <c r="H385" s="29"/>
      <c r="I385" s="29"/>
    </row>
    <row r="386" ht="14.25" customHeight="1">
      <c r="C386" s="29"/>
      <c r="D386" s="29"/>
      <c r="E386" s="29"/>
      <c r="F386" s="29"/>
      <c r="G386" s="29"/>
      <c r="H386" s="29"/>
      <c r="I386" s="29"/>
    </row>
    <row r="387" ht="14.25" customHeight="1">
      <c r="C387" s="29"/>
      <c r="D387" s="29"/>
      <c r="E387" s="29"/>
      <c r="F387" s="29"/>
      <c r="G387" s="29"/>
      <c r="H387" s="29"/>
      <c r="I387" s="29"/>
    </row>
    <row r="388" ht="14.25" customHeight="1">
      <c r="C388" s="29"/>
      <c r="D388" s="29"/>
      <c r="E388" s="29"/>
      <c r="F388" s="29"/>
      <c r="G388" s="29"/>
      <c r="H388" s="29"/>
      <c r="I388" s="29"/>
    </row>
    <row r="389" ht="14.25" customHeight="1">
      <c r="C389" s="29"/>
      <c r="D389" s="29"/>
      <c r="E389" s="29"/>
      <c r="F389" s="29"/>
      <c r="G389" s="29"/>
      <c r="H389" s="29"/>
      <c r="I389" s="29"/>
    </row>
    <row r="390" ht="14.25" customHeight="1">
      <c r="C390" s="29"/>
      <c r="D390" s="29"/>
      <c r="E390" s="29"/>
      <c r="F390" s="29"/>
      <c r="G390" s="29"/>
      <c r="H390" s="29"/>
      <c r="I390" s="29"/>
    </row>
    <row r="391" ht="14.25" customHeight="1">
      <c r="C391" s="29"/>
      <c r="D391" s="29"/>
      <c r="E391" s="29"/>
      <c r="F391" s="29"/>
      <c r="G391" s="29"/>
      <c r="H391" s="29"/>
      <c r="I391" s="29"/>
    </row>
    <row r="392" ht="14.25" customHeight="1">
      <c r="C392" s="29"/>
      <c r="D392" s="29"/>
      <c r="E392" s="29"/>
      <c r="F392" s="29"/>
      <c r="G392" s="29"/>
      <c r="H392" s="29"/>
      <c r="I392" s="29"/>
    </row>
    <row r="393" ht="14.25" customHeight="1">
      <c r="C393" s="29"/>
      <c r="D393" s="29"/>
      <c r="E393" s="29"/>
      <c r="F393" s="29"/>
      <c r="G393" s="29"/>
      <c r="H393" s="29"/>
      <c r="I393" s="29"/>
    </row>
    <row r="394" ht="14.25" customHeight="1">
      <c r="C394" s="29"/>
      <c r="D394" s="29"/>
      <c r="E394" s="29"/>
      <c r="F394" s="29"/>
      <c r="G394" s="29"/>
      <c r="H394" s="29"/>
      <c r="I394" s="29"/>
    </row>
    <row r="395" ht="14.25" customHeight="1">
      <c r="C395" s="29"/>
      <c r="D395" s="29"/>
      <c r="E395" s="29"/>
      <c r="F395" s="29"/>
      <c r="G395" s="29"/>
      <c r="H395" s="29"/>
      <c r="I395" s="29"/>
    </row>
    <row r="396" ht="14.25" customHeight="1">
      <c r="C396" s="29"/>
      <c r="D396" s="29"/>
      <c r="E396" s="29"/>
      <c r="F396" s="29"/>
      <c r="G396" s="29"/>
      <c r="H396" s="29"/>
      <c r="I396" s="29"/>
    </row>
    <row r="397" ht="14.25" customHeight="1">
      <c r="C397" s="29"/>
      <c r="D397" s="29"/>
      <c r="E397" s="29"/>
      <c r="F397" s="29"/>
      <c r="G397" s="29"/>
      <c r="H397" s="29"/>
      <c r="I397" s="29"/>
    </row>
    <row r="398" ht="14.25" customHeight="1">
      <c r="C398" s="29"/>
      <c r="D398" s="29"/>
      <c r="E398" s="29"/>
      <c r="F398" s="29"/>
      <c r="G398" s="29"/>
      <c r="H398" s="29"/>
      <c r="I398" s="29"/>
    </row>
    <row r="399" ht="14.25" customHeight="1">
      <c r="C399" s="29"/>
      <c r="D399" s="29"/>
      <c r="E399" s="29"/>
      <c r="F399" s="29"/>
      <c r="G399" s="29"/>
      <c r="H399" s="29"/>
      <c r="I399" s="29"/>
    </row>
    <row r="400" ht="14.25" customHeight="1">
      <c r="C400" s="29"/>
      <c r="D400" s="29"/>
      <c r="E400" s="29"/>
      <c r="F400" s="29"/>
      <c r="G400" s="29"/>
      <c r="H400" s="29"/>
      <c r="I400" s="29"/>
    </row>
    <row r="401" ht="14.25" customHeight="1">
      <c r="C401" s="29"/>
      <c r="D401" s="29"/>
      <c r="E401" s="29"/>
      <c r="F401" s="29"/>
      <c r="G401" s="29"/>
      <c r="H401" s="29"/>
      <c r="I401" s="29"/>
    </row>
    <row r="402" ht="14.25" customHeight="1">
      <c r="C402" s="29"/>
      <c r="D402" s="29"/>
      <c r="E402" s="29"/>
      <c r="F402" s="29"/>
      <c r="G402" s="29"/>
      <c r="H402" s="29"/>
      <c r="I402" s="29"/>
    </row>
    <row r="403" ht="14.25" customHeight="1">
      <c r="C403" s="29"/>
      <c r="D403" s="29"/>
      <c r="E403" s="29"/>
      <c r="F403" s="29"/>
      <c r="G403" s="29"/>
      <c r="H403" s="29"/>
      <c r="I403" s="29"/>
    </row>
    <row r="404" ht="14.25" customHeight="1">
      <c r="C404" s="29"/>
      <c r="D404" s="29"/>
      <c r="E404" s="29"/>
      <c r="F404" s="29"/>
      <c r="G404" s="29"/>
      <c r="H404" s="29"/>
      <c r="I404" s="29"/>
    </row>
    <row r="405" ht="14.25" customHeight="1">
      <c r="C405" s="29"/>
      <c r="D405" s="29"/>
      <c r="E405" s="29"/>
      <c r="F405" s="29"/>
      <c r="G405" s="29"/>
      <c r="H405" s="29"/>
      <c r="I405" s="29"/>
    </row>
    <row r="406" ht="14.25" customHeight="1">
      <c r="C406" s="29"/>
      <c r="D406" s="29"/>
      <c r="E406" s="29"/>
      <c r="F406" s="29"/>
      <c r="G406" s="29"/>
      <c r="H406" s="29"/>
      <c r="I406" s="29"/>
    </row>
    <row r="407" ht="14.25" customHeight="1">
      <c r="C407" s="29"/>
      <c r="D407" s="29"/>
      <c r="E407" s="29"/>
      <c r="F407" s="29"/>
      <c r="G407" s="29"/>
      <c r="H407" s="29"/>
      <c r="I407" s="29"/>
    </row>
    <row r="408" ht="14.25" customHeight="1">
      <c r="C408" s="29"/>
      <c r="D408" s="29"/>
      <c r="E408" s="29"/>
      <c r="F408" s="29"/>
      <c r="G408" s="29"/>
      <c r="H408" s="29"/>
      <c r="I408" s="29"/>
    </row>
    <row r="409" ht="14.25" customHeight="1">
      <c r="C409" s="29"/>
      <c r="D409" s="29"/>
      <c r="E409" s="29"/>
      <c r="F409" s="29"/>
      <c r="G409" s="29"/>
      <c r="H409" s="29"/>
      <c r="I409" s="29"/>
    </row>
    <row r="410" ht="14.25" customHeight="1">
      <c r="C410" s="29"/>
      <c r="D410" s="29"/>
      <c r="E410" s="29"/>
      <c r="F410" s="29"/>
      <c r="G410" s="29"/>
      <c r="H410" s="29"/>
      <c r="I410" s="29"/>
    </row>
    <row r="411" ht="14.25" customHeight="1">
      <c r="C411" s="29"/>
      <c r="D411" s="29"/>
      <c r="E411" s="29"/>
      <c r="F411" s="29"/>
      <c r="G411" s="29"/>
      <c r="H411" s="29"/>
      <c r="I411" s="29"/>
    </row>
    <row r="412" ht="14.25" customHeight="1">
      <c r="C412" s="29"/>
      <c r="D412" s="29"/>
      <c r="E412" s="29"/>
      <c r="F412" s="29"/>
      <c r="G412" s="29"/>
      <c r="H412" s="29"/>
      <c r="I412" s="29"/>
    </row>
    <row r="413" ht="14.25" customHeight="1">
      <c r="C413" s="29"/>
      <c r="D413" s="29"/>
      <c r="E413" s="29"/>
      <c r="F413" s="29"/>
      <c r="G413" s="29"/>
      <c r="H413" s="29"/>
      <c r="I413" s="29"/>
    </row>
    <row r="414" ht="14.25" customHeight="1">
      <c r="C414" s="29"/>
      <c r="D414" s="29"/>
      <c r="E414" s="29"/>
      <c r="F414" s="29"/>
      <c r="G414" s="29"/>
      <c r="H414" s="29"/>
      <c r="I414" s="29"/>
    </row>
    <row r="415" ht="14.25" customHeight="1">
      <c r="C415" s="29"/>
      <c r="D415" s="29"/>
      <c r="E415" s="29"/>
      <c r="F415" s="29"/>
      <c r="G415" s="29"/>
      <c r="H415" s="29"/>
      <c r="I415" s="29"/>
    </row>
    <row r="416" ht="14.25" customHeight="1">
      <c r="C416" s="29"/>
      <c r="D416" s="29"/>
      <c r="E416" s="29"/>
      <c r="F416" s="29"/>
      <c r="G416" s="29"/>
      <c r="H416" s="29"/>
      <c r="I416" s="29"/>
    </row>
    <row r="417" ht="14.25" customHeight="1">
      <c r="C417" s="29"/>
      <c r="D417" s="29"/>
      <c r="E417" s="29"/>
      <c r="F417" s="29"/>
      <c r="G417" s="29"/>
      <c r="H417" s="29"/>
      <c r="I417" s="29"/>
    </row>
    <row r="418" ht="14.25" customHeight="1">
      <c r="C418" s="29"/>
      <c r="D418" s="29"/>
      <c r="E418" s="29"/>
      <c r="F418" s="29"/>
      <c r="G418" s="29"/>
      <c r="H418" s="29"/>
      <c r="I418" s="29"/>
    </row>
    <row r="419" ht="14.25" customHeight="1">
      <c r="C419" s="29"/>
      <c r="D419" s="29"/>
      <c r="E419" s="29"/>
      <c r="F419" s="29"/>
      <c r="G419" s="29"/>
      <c r="H419" s="29"/>
      <c r="I419" s="29"/>
    </row>
    <row r="420" ht="14.25" customHeight="1">
      <c r="C420" s="29"/>
      <c r="D420" s="29"/>
      <c r="E420" s="29"/>
      <c r="F420" s="29"/>
      <c r="G420" s="29"/>
      <c r="H420" s="29"/>
      <c r="I420" s="29"/>
    </row>
    <row r="421" ht="14.25" customHeight="1">
      <c r="C421" s="29"/>
      <c r="D421" s="29"/>
      <c r="E421" s="29"/>
      <c r="F421" s="29"/>
      <c r="G421" s="29"/>
      <c r="H421" s="29"/>
      <c r="I421" s="29"/>
    </row>
    <row r="422" ht="14.25" customHeight="1">
      <c r="C422" s="29"/>
      <c r="D422" s="29"/>
      <c r="E422" s="29"/>
      <c r="F422" s="29"/>
      <c r="G422" s="29"/>
      <c r="H422" s="29"/>
      <c r="I422" s="29"/>
    </row>
    <row r="423" ht="14.25" customHeight="1">
      <c r="C423" s="29"/>
      <c r="D423" s="29"/>
      <c r="E423" s="29"/>
      <c r="F423" s="29"/>
      <c r="G423" s="29"/>
      <c r="H423" s="29"/>
      <c r="I423" s="29"/>
    </row>
    <row r="424" ht="14.25" customHeight="1">
      <c r="C424" s="29"/>
      <c r="D424" s="29"/>
      <c r="E424" s="29"/>
      <c r="F424" s="29"/>
      <c r="G424" s="29"/>
      <c r="H424" s="29"/>
      <c r="I424" s="29"/>
    </row>
    <row r="425" ht="14.25" customHeight="1">
      <c r="C425" s="29"/>
      <c r="D425" s="29"/>
      <c r="E425" s="29"/>
      <c r="F425" s="29"/>
      <c r="G425" s="29"/>
      <c r="H425" s="29"/>
      <c r="I425" s="29"/>
    </row>
    <row r="426" ht="14.25" customHeight="1">
      <c r="C426" s="29"/>
      <c r="D426" s="29"/>
      <c r="E426" s="29"/>
      <c r="F426" s="29"/>
      <c r="G426" s="29"/>
      <c r="H426" s="29"/>
      <c r="I426" s="29"/>
    </row>
    <row r="427" ht="14.25" customHeight="1">
      <c r="C427" s="29"/>
      <c r="D427" s="29"/>
      <c r="E427" s="29"/>
      <c r="F427" s="29"/>
      <c r="G427" s="29"/>
      <c r="H427" s="29"/>
      <c r="I427" s="29"/>
    </row>
    <row r="428" ht="14.25" customHeight="1">
      <c r="C428" s="29"/>
      <c r="D428" s="29"/>
      <c r="E428" s="29"/>
      <c r="F428" s="29"/>
      <c r="G428" s="29"/>
      <c r="H428" s="29"/>
      <c r="I428" s="29"/>
    </row>
    <row r="429" ht="14.25" customHeight="1">
      <c r="C429" s="29"/>
      <c r="D429" s="29"/>
      <c r="E429" s="29"/>
      <c r="F429" s="29"/>
      <c r="G429" s="29"/>
      <c r="H429" s="29"/>
      <c r="I429" s="29"/>
    </row>
    <row r="430" ht="14.25" customHeight="1">
      <c r="C430" s="29"/>
      <c r="D430" s="29"/>
      <c r="E430" s="29"/>
      <c r="F430" s="29"/>
      <c r="G430" s="29"/>
      <c r="H430" s="29"/>
      <c r="I430" s="29"/>
    </row>
    <row r="431" ht="14.25" customHeight="1">
      <c r="C431" s="29"/>
      <c r="D431" s="29"/>
      <c r="E431" s="29"/>
      <c r="F431" s="29"/>
      <c r="G431" s="29"/>
      <c r="H431" s="29"/>
      <c r="I431" s="29"/>
    </row>
    <row r="432" ht="14.25" customHeight="1">
      <c r="C432" s="29"/>
      <c r="D432" s="29"/>
      <c r="E432" s="29"/>
      <c r="F432" s="29"/>
      <c r="G432" s="29"/>
      <c r="H432" s="29"/>
      <c r="I432" s="29"/>
    </row>
    <row r="433" ht="14.25" customHeight="1">
      <c r="C433" s="29"/>
      <c r="D433" s="29"/>
      <c r="E433" s="29"/>
      <c r="F433" s="29"/>
      <c r="G433" s="29"/>
      <c r="H433" s="29"/>
      <c r="I433" s="29"/>
    </row>
    <row r="434" ht="14.25" customHeight="1">
      <c r="C434" s="29"/>
      <c r="D434" s="29"/>
      <c r="E434" s="29"/>
      <c r="F434" s="29"/>
      <c r="G434" s="29"/>
      <c r="H434" s="29"/>
      <c r="I434" s="29"/>
    </row>
    <row r="435" ht="14.25" customHeight="1">
      <c r="C435" s="29"/>
      <c r="D435" s="29"/>
      <c r="E435" s="29"/>
      <c r="F435" s="29"/>
      <c r="G435" s="29"/>
      <c r="H435" s="29"/>
      <c r="I435" s="29"/>
    </row>
    <row r="436" ht="14.25" customHeight="1">
      <c r="C436" s="29"/>
      <c r="D436" s="29"/>
      <c r="E436" s="29"/>
      <c r="F436" s="29"/>
      <c r="G436" s="29"/>
      <c r="H436" s="29"/>
      <c r="I436" s="29"/>
    </row>
    <row r="437" ht="14.25" customHeight="1">
      <c r="C437" s="29"/>
      <c r="D437" s="29"/>
      <c r="E437" s="29"/>
      <c r="F437" s="29"/>
      <c r="G437" s="29"/>
      <c r="H437" s="29"/>
      <c r="I437" s="29"/>
    </row>
    <row r="438" ht="14.25" customHeight="1">
      <c r="C438" s="29"/>
      <c r="D438" s="29"/>
      <c r="E438" s="29"/>
      <c r="F438" s="29"/>
      <c r="G438" s="29"/>
      <c r="H438" s="29"/>
      <c r="I438" s="29"/>
    </row>
    <row r="439" ht="14.25" customHeight="1">
      <c r="C439" s="29"/>
      <c r="D439" s="29"/>
      <c r="E439" s="29"/>
      <c r="F439" s="29"/>
      <c r="G439" s="29"/>
      <c r="H439" s="29"/>
      <c r="I439" s="29"/>
    </row>
    <row r="440" ht="14.25" customHeight="1">
      <c r="C440" s="29"/>
      <c r="D440" s="29"/>
      <c r="E440" s="29"/>
      <c r="F440" s="29"/>
      <c r="G440" s="29"/>
      <c r="H440" s="29"/>
      <c r="I440" s="29"/>
    </row>
    <row r="441" ht="14.25" customHeight="1">
      <c r="C441" s="29"/>
      <c r="D441" s="29"/>
      <c r="E441" s="29"/>
      <c r="F441" s="29"/>
      <c r="G441" s="29"/>
      <c r="H441" s="29"/>
      <c r="I441" s="29"/>
    </row>
    <row r="442" ht="14.25" customHeight="1">
      <c r="C442" s="29"/>
      <c r="D442" s="29"/>
      <c r="E442" s="29"/>
      <c r="F442" s="29"/>
      <c r="G442" s="29"/>
      <c r="H442" s="29"/>
      <c r="I442" s="29"/>
    </row>
    <row r="443" ht="14.25" customHeight="1">
      <c r="C443" s="29"/>
      <c r="D443" s="29"/>
      <c r="E443" s="29"/>
      <c r="F443" s="29"/>
      <c r="G443" s="29"/>
      <c r="H443" s="29"/>
      <c r="I443" s="29"/>
    </row>
    <row r="444" ht="14.25" customHeight="1">
      <c r="C444" s="29"/>
      <c r="D444" s="29"/>
      <c r="E444" s="29"/>
      <c r="F444" s="29"/>
      <c r="G444" s="29"/>
      <c r="H444" s="29"/>
      <c r="I444" s="29"/>
    </row>
    <row r="445" ht="14.25" customHeight="1">
      <c r="C445" s="29"/>
      <c r="D445" s="29"/>
      <c r="E445" s="29"/>
      <c r="F445" s="29"/>
      <c r="G445" s="29"/>
      <c r="H445" s="29"/>
      <c r="I445" s="29"/>
    </row>
    <row r="446" ht="14.25" customHeight="1">
      <c r="C446" s="29"/>
      <c r="D446" s="29"/>
      <c r="E446" s="29"/>
      <c r="F446" s="29"/>
      <c r="G446" s="29"/>
      <c r="H446" s="29"/>
      <c r="I446" s="29"/>
    </row>
    <row r="447" ht="14.25" customHeight="1">
      <c r="C447" s="29"/>
      <c r="D447" s="29"/>
      <c r="E447" s="29"/>
      <c r="F447" s="29"/>
      <c r="G447" s="29"/>
      <c r="H447" s="29"/>
      <c r="I447" s="29"/>
    </row>
    <row r="448" ht="14.25" customHeight="1">
      <c r="C448" s="29"/>
      <c r="D448" s="29"/>
      <c r="E448" s="29"/>
      <c r="F448" s="29"/>
      <c r="G448" s="29"/>
      <c r="H448" s="29"/>
      <c r="I448" s="29"/>
    </row>
    <row r="449" ht="14.25" customHeight="1">
      <c r="C449" s="29"/>
      <c r="D449" s="29"/>
      <c r="E449" s="29"/>
      <c r="F449" s="29"/>
      <c r="G449" s="29"/>
      <c r="H449" s="29"/>
      <c r="I449" s="29"/>
    </row>
    <row r="450" ht="14.25" customHeight="1">
      <c r="C450" s="29"/>
      <c r="D450" s="29"/>
      <c r="E450" s="29"/>
      <c r="F450" s="29"/>
      <c r="G450" s="29"/>
      <c r="H450" s="29"/>
      <c r="I450" s="29"/>
    </row>
    <row r="451" ht="14.25" customHeight="1">
      <c r="C451" s="29"/>
      <c r="D451" s="29"/>
      <c r="E451" s="29"/>
      <c r="F451" s="29"/>
      <c r="G451" s="29"/>
      <c r="H451" s="29"/>
      <c r="I451" s="29"/>
    </row>
    <row r="452" ht="14.25" customHeight="1">
      <c r="C452" s="29"/>
      <c r="D452" s="29"/>
      <c r="E452" s="29"/>
      <c r="F452" s="29"/>
      <c r="G452" s="29"/>
      <c r="H452" s="29"/>
      <c r="I452" s="29"/>
    </row>
    <row r="453" ht="14.25" customHeight="1">
      <c r="C453" s="29"/>
      <c r="D453" s="29"/>
      <c r="E453" s="29"/>
      <c r="F453" s="29"/>
      <c r="G453" s="29"/>
      <c r="H453" s="29"/>
      <c r="I453" s="29"/>
    </row>
    <row r="454" ht="14.25" customHeight="1">
      <c r="C454" s="29"/>
      <c r="D454" s="29"/>
      <c r="E454" s="29"/>
      <c r="F454" s="29"/>
      <c r="G454" s="29"/>
      <c r="H454" s="29"/>
      <c r="I454" s="29"/>
    </row>
    <row r="455" ht="14.25" customHeight="1">
      <c r="C455" s="29"/>
      <c r="D455" s="29"/>
      <c r="E455" s="29"/>
      <c r="F455" s="29"/>
      <c r="G455" s="29"/>
      <c r="H455" s="29"/>
      <c r="I455" s="29"/>
    </row>
    <row r="456" ht="14.25" customHeight="1">
      <c r="C456" s="29"/>
      <c r="D456" s="29"/>
      <c r="E456" s="29"/>
      <c r="F456" s="29"/>
      <c r="G456" s="29"/>
      <c r="H456" s="29"/>
      <c r="I456" s="29"/>
    </row>
    <row r="457" ht="14.25" customHeight="1">
      <c r="C457" s="29"/>
      <c r="D457" s="29"/>
      <c r="E457" s="29"/>
      <c r="F457" s="29"/>
      <c r="G457" s="29"/>
      <c r="H457" s="29"/>
      <c r="I457" s="29"/>
    </row>
    <row r="458" ht="14.25" customHeight="1">
      <c r="C458" s="29"/>
      <c r="D458" s="29"/>
      <c r="E458" s="29"/>
      <c r="F458" s="29"/>
      <c r="G458" s="29"/>
      <c r="H458" s="29"/>
      <c r="I458" s="29"/>
    </row>
    <row r="459" ht="14.25" customHeight="1">
      <c r="C459" s="29"/>
      <c r="D459" s="29"/>
      <c r="E459" s="29"/>
      <c r="F459" s="29"/>
      <c r="G459" s="29"/>
      <c r="H459" s="29"/>
      <c r="I459" s="29"/>
    </row>
    <row r="460" ht="14.25" customHeight="1">
      <c r="C460" s="29"/>
      <c r="D460" s="29"/>
      <c r="E460" s="29"/>
      <c r="F460" s="29"/>
      <c r="G460" s="29"/>
      <c r="H460" s="29"/>
      <c r="I460" s="29"/>
    </row>
    <row r="461" ht="14.25" customHeight="1">
      <c r="C461" s="29"/>
      <c r="D461" s="29"/>
      <c r="E461" s="29"/>
      <c r="F461" s="29"/>
      <c r="G461" s="29"/>
      <c r="H461" s="29"/>
      <c r="I461" s="29"/>
    </row>
    <row r="462" ht="14.25" customHeight="1">
      <c r="C462" s="29"/>
      <c r="D462" s="29"/>
      <c r="E462" s="29"/>
      <c r="F462" s="29"/>
      <c r="G462" s="29"/>
      <c r="H462" s="29"/>
      <c r="I462" s="29"/>
    </row>
    <row r="463" ht="14.25" customHeight="1">
      <c r="C463" s="29"/>
      <c r="D463" s="29"/>
      <c r="E463" s="29"/>
      <c r="F463" s="29"/>
      <c r="G463" s="29"/>
      <c r="H463" s="29"/>
      <c r="I463" s="29"/>
    </row>
    <row r="464" ht="14.25" customHeight="1">
      <c r="C464" s="29"/>
      <c r="D464" s="29"/>
      <c r="E464" s="29"/>
      <c r="F464" s="29"/>
      <c r="G464" s="29"/>
      <c r="H464" s="29"/>
      <c r="I464" s="29"/>
    </row>
    <row r="465" ht="14.25" customHeight="1">
      <c r="C465" s="29"/>
      <c r="D465" s="29"/>
      <c r="E465" s="29"/>
      <c r="F465" s="29"/>
      <c r="G465" s="29"/>
      <c r="H465" s="29"/>
      <c r="I465" s="29"/>
    </row>
    <row r="466" ht="14.25" customHeight="1">
      <c r="C466" s="29"/>
      <c r="D466" s="29"/>
      <c r="E466" s="29"/>
      <c r="F466" s="29"/>
      <c r="G466" s="29"/>
      <c r="H466" s="29"/>
      <c r="I466" s="29"/>
    </row>
    <row r="467" ht="14.25" customHeight="1">
      <c r="C467" s="29"/>
      <c r="D467" s="29"/>
      <c r="E467" s="29"/>
      <c r="F467" s="29"/>
      <c r="G467" s="29"/>
      <c r="H467" s="29"/>
      <c r="I467" s="29"/>
    </row>
    <row r="468" ht="14.25" customHeight="1">
      <c r="C468" s="29"/>
      <c r="D468" s="29"/>
      <c r="E468" s="29"/>
      <c r="F468" s="29"/>
      <c r="G468" s="29"/>
      <c r="H468" s="29"/>
      <c r="I468" s="29"/>
    </row>
    <row r="469" ht="14.25" customHeight="1">
      <c r="C469" s="29"/>
      <c r="D469" s="29"/>
      <c r="E469" s="29"/>
      <c r="F469" s="29"/>
      <c r="G469" s="29"/>
      <c r="H469" s="29"/>
      <c r="I469" s="29"/>
    </row>
    <row r="470" ht="14.25" customHeight="1">
      <c r="C470" s="29"/>
      <c r="D470" s="29"/>
      <c r="E470" s="29"/>
      <c r="F470" s="29"/>
      <c r="G470" s="29"/>
      <c r="H470" s="29"/>
      <c r="I470" s="29"/>
    </row>
    <row r="471" ht="14.25" customHeight="1">
      <c r="C471" s="29"/>
      <c r="D471" s="29"/>
      <c r="E471" s="29"/>
      <c r="F471" s="29"/>
      <c r="G471" s="29"/>
      <c r="H471" s="29"/>
      <c r="I471" s="29"/>
    </row>
    <row r="472" ht="14.25" customHeight="1">
      <c r="C472" s="29"/>
      <c r="D472" s="29"/>
      <c r="E472" s="29"/>
      <c r="F472" s="29"/>
      <c r="G472" s="29"/>
      <c r="H472" s="29"/>
      <c r="I472" s="29"/>
    </row>
    <row r="473" ht="14.25" customHeight="1">
      <c r="C473" s="29"/>
      <c r="D473" s="29"/>
      <c r="E473" s="29"/>
      <c r="F473" s="29"/>
      <c r="G473" s="29"/>
      <c r="H473" s="29"/>
      <c r="I473" s="29"/>
    </row>
    <row r="474" ht="14.25" customHeight="1">
      <c r="C474" s="29"/>
      <c r="D474" s="29"/>
      <c r="E474" s="29"/>
      <c r="F474" s="29"/>
      <c r="G474" s="29"/>
      <c r="H474" s="29"/>
      <c r="I474" s="29"/>
    </row>
    <row r="475" ht="14.25" customHeight="1">
      <c r="C475" s="29"/>
      <c r="D475" s="29"/>
      <c r="E475" s="29"/>
      <c r="F475" s="29"/>
      <c r="G475" s="29"/>
      <c r="H475" s="29"/>
      <c r="I475" s="29"/>
    </row>
    <row r="476" ht="14.25" customHeight="1">
      <c r="C476" s="29"/>
      <c r="D476" s="29"/>
      <c r="E476" s="29"/>
      <c r="F476" s="29"/>
      <c r="G476" s="29"/>
      <c r="H476" s="29"/>
      <c r="I476" s="29"/>
    </row>
    <row r="477" ht="14.25" customHeight="1">
      <c r="C477" s="29"/>
      <c r="D477" s="29"/>
      <c r="E477" s="29"/>
      <c r="F477" s="29"/>
      <c r="G477" s="29"/>
      <c r="H477" s="29"/>
      <c r="I477" s="29"/>
    </row>
    <row r="478" ht="14.25" customHeight="1">
      <c r="C478" s="29"/>
      <c r="D478" s="29"/>
      <c r="E478" s="29"/>
      <c r="F478" s="29"/>
      <c r="G478" s="29"/>
      <c r="H478" s="29"/>
      <c r="I478" s="29"/>
    </row>
    <row r="479" ht="14.25" customHeight="1">
      <c r="C479" s="29"/>
      <c r="D479" s="29"/>
      <c r="E479" s="29"/>
      <c r="F479" s="29"/>
      <c r="G479" s="29"/>
      <c r="H479" s="29"/>
      <c r="I479" s="29"/>
    </row>
    <row r="480" ht="14.25" customHeight="1">
      <c r="C480" s="29"/>
      <c r="D480" s="29"/>
      <c r="E480" s="29"/>
      <c r="F480" s="29"/>
      <c r="G480" s="29"/>
      <c r="H480" s="29"/>
      <c r="I480" s="29"/>
    </row>
    <row r="481" ht="14.25" customHeight="1">
      <c r="C481" s="29"/>
      <c r="D481" s="29"/>
      <c r="E481" s="29"/>
      <c r="F481" s="29"/>
      <c r="G481" s="29"/>
      <c r="H481" s="29"/>
      <c r="I481" s="29"/>
    </row>
    <row r="482" ht="14.25" customHeight="1">
      <c r="C482" s="29"/>
      <c r="D482" s="29"/>
      <c r="E482" s="29"/>
      <c r="F482" s="29"/>
      <c r="G482" s="29"/>
      <c r="H482" s="29"/>
      <c r="I482" s="29"/>
    </row>
    <row r="483" ht="14.25" customHeight="1">
      <c r="C483" s="29"/>
      <c r="D483" s="29"/>
      <c r="E483" s="29"/>
      <c r="F483" s="29"/>
      <c r="G483" s="29"/>
      <c r="H483" s="29"/>
      <c r="I483" s="29"/>
    </row>
    <row r="484" ht="14.25" customHeight="1">
      <c r="C484" s="29"/>
      <c r="D484" s="29"/>
      <c r="E484" s="29"/>
      <c r="F484" s="29"/>
      <c r="G484" s="29"/>
      <c r="H484" s="29"/>
      <c r="I484" s="29"/>
    </row>
    <row r="485" ht="14.25" customHeight="1">
      <c r="C485" s="29"/>
      <c r="D485" s="29"/>
      <c r="E485" s="29"/>
      <c r="F485" s="29"/>
      <c r="G485" s="29"/>
      <c r="H485" s="29"/>
      <c r="I485" s="29"/>
    </row>
    <row r="486" ht="14.25" customHeight="1">
      <c r="C486" s="29"/>
      <c r="D486" s="29"/>
      <c r="E486" s="29"/>
      <c r="F486" s="29"/>
      <c r="G486" s="29"/>
      <c r="H486" s="29"/>
      <c r="I486" s="29"/>
    </row>
    <row r="487" ht="14.25" customHeight="1">
      <c r="C487" s="29"/>
      <c r="D487" s="29"/>
      <c r="E487" s="29"/>
      <c r="F487" s="29"/>
      <c r="G487" s="29"/>
      <c r="H487" s="29"/>
      <c r="I487" s="29"/>
    </row>
    <row r="488" ht="14.25" customHeight="1">
      <c r="C488" s="29"/>
      <c r="D488" s="29"/>
      <c r="E488" s="29"/>
      <c r="F488" s="29"/>
      <c r="G488" s="29"/>
      <c r="H488" s="29"/>
      <c r="I488" s="29"/>
    </row>
    <row r="489" ht="14.25" customHeight="1">
      <c r="C489" s="29"/>
      <c r="D489" s="29"/>
      <c r="E489" s="29"/>
      <c r="F489" s="29"/>
      <c r="G489" s="29"/>
      <c r="H489" s="29"/>
      <c r="I489" s="29"/>
    </row>
    <row r="490" ht="14.25" customHeight="1">
      <c r="C490" s="29"/>
      <c r="D490" s="29"/>
      <c r="E490" s="29"/>
      <c r="F490" s="29"/>
      <c r="G490" s="29"/>
      <c r="H490" s="29"/>
      <c r="I490" s="29"/>
    </row>
    <row r="491" ht="14.25" customHeight="1">
      <c r="C491" s="29"/>
      <c r="D491" s="29"/>
      <c r="E491" s="29"/>
      <c r="F491" s="29"/>
      <c r="G491" s="29"/>
      <c r="H491" s="29"/>
      <c r="I491" s="29"/>
    </row>
    <row r="492" ht="14.25" customHeight="1">
      <c r="C492" s="29"/>
      <c r="D492" s="29"/>
      <c r="E492" s="29"/>
      <c r="F492" s="29"/>
      <c r="G492" s="29"/>
      <c r="H492" s="29"/>
      <c r="I492" s="29"/>
    </row>
    <row r="493" ht="14.25" customHeight="1">
      <c r="C493" s="29"/>
      <c r="D493" s="29"/>
      <c r="E493" s="29"/>
      <c r="F493" s="29"/>
      <c r="G493" s="29"/>
      <c r="H493" s="29"/>
      <c r="I493" s="29"/>
    </row>
    <row r="494" ht="14.25" customHeight="1">
      <c r="C494" s="29"/>
      <c r="D494" s="29"/>
      <c r="E494" s="29"/>
      <c r="F494" s="29"/>
      <c r="G494" s="29"/>
      <c r="H494" s="29"/>
      <c r="I494" s="29"/>
    </row>
    <row r="495" ht="14.25" customHeight="1">
      <c r="C495" s="29"/>
      <c r="D495" s="29"/>
      <c r="E495" s="29"/>
      <c r="F495" s="29"/>
      <c r="G495" s="29"/>
      <c r="H495" s="29"/>
      <c r="I495" s="29"/>
    </row>
    <row r="496" ht="14.25" customHeight="1">
      <c r="C496" s="29"/>
      <c r="D496" s="29"/>
      <c r="E496" s="29"/>
      <c r="F496" s="29"/>
      <c r="G496" s="29"/>
      <c r="H496" s="29"/>
      <c r="I496" s="29"/>
    </row>
    <row r="497" ht="14.25" customHeight="1">
      <c r="C497" s="29"/>
      <c r="D497" s="29"/>
      <c r="E497" s="29"/>
      <c r="F497" s="29"/>
      <c r="G497" s="29"/>
      <c r="H497" s="29"/>
      <c r="I497" s="29"/>
    </row>
    <row r="498" ht="14.25" customHeight="1">
      <c r="C498" s="29"/>
      <c r="D498" s="29"/>
      <c r="E498" s="29"/>
      <c r="F498" s="29"/>
      <c r="G498" s="29"/>
      <c r="H498" s="29"/>
      <c r="I498" s="29"/>
    </row>
    <row r="499" ht="14.25" customHeight="1">
      <c r="C499" s="29"/>
      <c r="D499" s="29"/>
      <c r="E499" s="29"/>
      <c r="F499" s="29"/>
      <c r="G499" s="29"/>
      <c r="H499" s="29"/>
      <c r="I499" s="29"/>
    </row>
    <row r="500" ht="14.25" customHeight="1">
      <c r="C500" s="29"/>
      <c r="D500" s="29"/>
      <c r="E500" s="29"/>
      <c r="F500" s="29"/>
      <c r="G500" s="29"/>
      <c r="H500" s="29"/>
      <c r="I500" s="29"/>
    </row>
    <row r="501" ht="14.25" customHeight="1">
      <c r="C501" s="29"/>
      <c r="D501" s="29"/>
      <c r="E501" s="29"/>
      <c r="F501" s="29"/>
      <c r="G501" s="29"/>
      <c r="H501" s="29"/>
      <c r="I501" s="29"/>
    </row>
    <row r="502" ht="14.25" customHeight="1">
      <c r="C502" s="29"/>
      <c r="D502" s="29"/>
      <c r="E502" s="29"/>
      <c r="F502" s="29"/>
      <c r="G502" s="29"/>
      <c r="H502" s="29"/>
      <c r="I502" s="29"/>
    </row>
    <row r="503" ht="14.25" customHeight="1">
      <c r="C503" s="29"/>
      <c r="D503" s="29"/>
      <c r="E503" s="29"/>
      <c r="F503" s="29"/>
      <c r="G503" s="29"/>
      <c r="H503" s="29"/>
      <c r="I503" s="29"/>
    </row>
    <row r="504" ht="14.25" customHeight="1">
      <c r="C504" s="29"/>
      <c r="D504" s="29"/>
      <c r="E504" s="29"/>
      <c r="F504" s="29"/>
      <c r="G504" s="29"/>
      <c r="H504" s="29"/>
      <c r="I504" s="29"/>
    </row>
    <row r="505" ht="14.25" customHeight="1">
      <c r="C505" s="29"/>
      <c r="D505" s="29"/>
      <c r="E505" s="29"/>
      <c r="F505" s="29"/>
      <c r="G505" s="29"/>
      <c r="H505" s="29"/>
      <c r="I505" s="29"/>
    </row>
    <row r="506" ht="14.25" customHeight="1">
      <c r="C506" s="29"/>
      <c r="D506" s="29"/>
      <c r="E506" s="29"/>
      <c r="F506" s="29"/>
      <c r="G506" s="29"/>
      <c r="H506" s="29"/>
      <c r="I506" s="29"/>
    </row>
    <row r="507" ht="14.25" customHeight="1">
      <c r="C507" s="29"/>
      <c r="D507" s="29"/>
      <c r="E507" s="29"/>
      <c r="F507" s="29"/>
      <c r="G507" s="29"/>
      <c r="H507" s="29"/>
      <c r="I507" s="29"/>
    </row>
    <row r="508" ht="14.25" customHeight="1">
      <c r="C508" s="29"/>
      <c r="D508" s="29"/>
      <c r="E508" s="29"/>
      <c r="F508" s="29"/>
      <c r="G508" s="29"/>
      <c r="H508" s="29"/>
      <c r="I508" s="29"/>
    </row>
    <row r="509" ht="14.25" customHeight="1">
      <c r="C509" s="29"/>
      <c r="D509" s="29"/>
      <c r="E509" s="29"/>
      <c r="F509" s="29"/>
      <c r="G509" s="29"/>
      <c r="H509" s="29"/>
      <c r="I509" s="29"/>
    </row>
    <row r="510" ht="14.25" customHeight="1">
      <c r="C510" s="29"/>
      <c r="D510" s="29"/>
      <c r="E510" s="29"/>
      <c r="F510" s="29"/>
      <c r="G510" s="29"/>
      <c r="H510" s="29"/>
      <c r="I510" s="29"/>
    </row>
    <row r="511" ht="14.25" customHeight="1">
      <c r="C511" s="29"/>
      <c r="D511" s="29"/>
      <c r="E511" s="29"/>
      <c r="F511" s="29"/>
      <c r="G511" s="29"/>
      <c r="H511" s="29"/>
      <c r="I511" s="29"/>
    </row>
    <row r="512" ht="14.25" customHeight="1">
      <c r="C512" s="29"/>
      <c r="D512" s="29"/>
      <c r="E512" s="29"/>
      <c r="F512" s="29"/>
      <c r="G512" s="29"/>
      <c r="H512" s="29"/>
      <c r="I512" s="29"/>
    </row>
    <row r="513" ht="14.25" customHeight="1">
      <c r="C513" s="29"/>
      <c r="D513" s="29"/>
      <c r="E513" s="29"/>
      <c r="F513" s="29"/>
      <c r="G513" s="29"/>
      <c r="H513" s="29"/>
      <c r="I513" s="29"/>
    </row>
    <row r="514" ht="14.25" customHeight="1">
      <c r="C514" s="29"/>
      <c r="D514" s="29"/>
      <c r="E514" s="29"/>
      <c r="F514" s="29"/>
      <c r="G514" s="29"/>
      <c r="H514" s="29"/>
      <c r="I514" s="29"/>
    </row>
    <row r="515" ht="14.25" customHeight="1">
      <c r="C515" s="29"/>
      <c r="D515" s="29"/>
      <c r="E515" s="29"/>
      <c r="F515" s="29"/>
      <c r="G515" s="29"/>
      <c r="H515" s="29"/>
      <c r="I515" s="29"/>
    </row>
    <row r="516" ht="14.25" customHeight="1">
      <c r="C516" s="29"/>
      <c r="D516" s="29"/>
      <c r="E516" s="29"/>
      <c r="F516" s="29"/>
      <c r="G516" s="29"/>
      <c r="H516" s="29"/>
      <c r="I516" s="29"/>
    </row>
    <row r="517" ht="14.25" customHeight="1">
      <c r="C517" s="29"/>
      <c r="D517" s="29"/>
      <c r="E517" s="29"/>
      <c r="F517" s="29"/>
      <c r="G517" s="29"/>
      <c r="H517" s="29"/>
      <c r="I517" s="29"/>
    </row>
    <row r="518" ht="14.25" customHeight="1">
      <c r="C518" s="29"/>
      <c r="D518" s="29"/>
      <c r="E518" s="29"/>
      <c r="F518" s="29"/>
      <c r="G518" s="29"/>
      <c r="H518" s="29"/>
      <c r="I518" s="29"/>
    </row>
    <row r="519" ht="14.25" customHeight="1">
      <c r="C519" s="29"/>
      <c r="D519" s="29"/>
      <c r="E519" s="29"/>
      <c r="F519" s="29"/>
      <c r="G519" s="29"/>
      <c r="H519" s="29"/>
      <c r="I519" s="29"/>
    </row>
    <row r="520" ht="14.25" customHeight="1">
      <c r="C520" s="29"/>
      <c r="D520" s="29"/>
      <c r="E520" s="29"/>
      <c r="F520" s="29"/>
      <c r="G520" s="29"/>
      <c r="H520" s="29"/>
      <c r="I520" s="29"/>
    </row>
    <row r="521" ht="14.25" customHeight="1">
      <c r="C521" s="29"/>
      <c r="D521" s="29"/>
      <c r="E521" s="29"/>
      <c r="F521" s="29"/>
      <c r="G521" s="29"/>
      <c r="H521" s="29"/>
      <c r="I521" s="29"/>
    </row>
    <row r="522" ht="14.25" customHeight="1">
      <c r="C522" s="29"/>
      <c r="D522" s="29"/>
      <c r="E522" s="29"/>
      <c r="F522" s="29"/>
      <c r="G522" s="29"/>
      <c r="H522" s="29"/>
      <c r="I522" s="29"/>
    </row>
    <row r="523" ht="14.25" customHeight="1">
      <c r="C523" s="29"/>
      <c r="D523" s="29"/>
      <c r="E523" s="29"/>
      <c r="F523" s="29"/>
      <c r="G523" s="29"/>
      <c r="H523" s="29"/>
      <c r="I523" s="29"/>
    </row>
    <row r="524" ht="14.25" customHeight="1">
      <c r="C524" s="29"/>
      <c r="D524" s="29"/>
      <c r="E524" s="29"/>
      <c r="F524" s="29"/>
      <c r="G524" s="29"/>
      <c r="H524" s="29"/>
      <c r="I524" s="29"/>
    </row>
    <row r="525" ht="14.25" customHeight="1">
      <c r="C525" s="29"/>
      <c r="D525" s="29"/>
      <c r="E525" s="29"/>
      <c r="F525" s="29"/>
      <c r="G525" s="29"/>
      <c r="H525" s="29"/>
      <c r="I525" s="29"/>
    </row>
    <row r="526" ht="14.25" customHeight="1">
      <c r="C526" s="29"/>
      <c r="D526" s="29"/>
      <c r="E526" s="29"/>
      <c r="F526" s="29"/>
      <c r="G526" s="29"/>
      <c r="H526" s="29"/>
      <c r="I526" s="29"/>
    </row>
    <row r="527" ht="14.25" customHeight="1">
      <c r="C527" s="29"/>
      <c r="D527" s="29"/>
      <c r="E527" s="29"/>
      <c r="F527" s="29"/>
      <c r="G527" s="29"/>
      <c r="H527" s="29"/>
      <c r="I527" s="29"/>
    </row>
    <row r="528" ht="14.25" customHeight="1">
      <c r="C528" s="29"/>
      <c r="D528" s="29"/>
      <c r="E528" s="29"/>
      <c r="F528" s="29"/>
      <c r="G528" s="29"/>
      <c r="H528" s="29"/>
      <c r="I528" s="29"/>
    </row>
    <row r="529" ht="14.25" customHeight="1">
      <c r="C529" s="29"/>
      <c r="D529" s="29"/>
      <c r="E529" s="29"/>
      <c r="F529" s="29"/>
      <c r="G529" s="29"/>
      <c r="H529" s="29"/>
      <c r="I529" s="29"/>
    </row>
    <row r="530" ht="14.25" customHeight="1">
      <c r="C530" s="29"/>
      <c r="D530" s="29"/>
      <c r="E530" s="29"/>
      <c r="F530" s="29"/>
      <c r="G530" s="29"/>
      <c r="H530" s="29"/>
      <c r="I530" s="29"/>
    </row>
    <row r="531" ht="14.25" customHeight="1">
      <c r="C531" s="29"/>
      <c r="D531" s="29"/>
      <c r="E531" s="29"/>
      <c r="F531" s="29"/>
      <c r="G531" s="29"/>
      <c r="H531" s="29"/>
      <c r="I531" s="29"/>
    </row>
    <row r="532" ht="14.25" customHeight="1">
      <c r="C532" s="29"/>
      <c r="D532" s="29"/>
      <c r="E532" s="29"/>
      <c r="F532" s="29"/>
      <c r="G532" s="29"/>
      <c r="H532" s="29"/>
      <c r="I532" s="29"/>
    </row>
    <row r="533" ht="14.25" customHeight="1">
      <c r="C533" s="29"/>
      <c r="D533" s="29"/>
      <c r="E533" s="29"/>
      <c r="F533" s="29"/>
      <c r="G533" s="29"/>
      <c r="H533" s="29"/>
      <c r="I533" s="29"/>
    </row>
    <row r="534" ht="14.25" customHeight="1">
      <c r="C534" s="29"/>
      <c r="D534" s="29"/>
      <c r="E534" s="29"/>
      <c r="F534" s="29"/>
      <c r="G534" s="29"/>
      <c r="H534" s="29"/>
      <c r="I534" s="29"/>
    </row>
    <row r="535" ht="14.25" customHeight="1">
      <c r="C535" s="29"/>
      <c r="D535" s="29"/>
      <c r="E535" s="29"/>
      <c r="F535" s="29"/>
      <c r="G535" s="29"/>
      <c r="H535" s="29"/>
      <c r="I535" s="29"/>
    </row>
    <row r="536" ht="14.25" customHeight="1">
      <c r="C536" s="29"/>
      <c r="D536" s="29"/>
      <c r="E536" s="29"/>
      <c r="F536" s="29"/>
      <c r="G536" s="29"/>
      <c r="H536" s="29"/>
      <c r="I536" s="29"/>
    </row>
    <row r="537" ht="14.25" customHeight="1">
      <c r="C537" s="29"/>
      <c r="D537" s="29"/>
      <c r="E537" s="29"/>
      <c r="F537" s="29"/>
      <c r="G537" s="29"/>
      <c r="H537" s="29"/>
      <c r="I537" s="29"/>
    </row>
    <row r="538" ht="14.25" customHeight="1">
      <c r="C538" s="29"/>
      <c r="D538" s="29"/>
      <c r="E538" s="29"/>
      <c r="F538" s="29"/>
      <c r="G538" s="29"/>
      <c r="H538" s="29"/>
      <c r="I538" s="29"/>
    </row>
    <row r="539" ht="14.25" customHeight="1">
      <c r="C539" s="29"/>
      <c r="D539" s="29"/>
      <c r="E539" s="29"/>
      <c r="F539" s="29"/>
      <c r="G539" s="29"/>
      <c r="H539" s="29"/>
      <c r="I539" s="29"/>
    </row>
    <row r="540" ht="14.25" customHeight="1">
      <c r="C540" s="29"/>
      <c r="D540" s="29"/>
      <c r="E540" s="29"/>
      <c r="F540" s="29"/>
      <c r="G540" s="29"/>
      <c r="H540" s="29"/>
      <c r="I540" s="29"/>
    </row>
    <row r="541" ht="14.25" customHeight="1">
      <c r="C541" s="29"/>
      <c r="D541" s="29"/>
      <c r="E541" s="29"/>
      <c r="F541" s="29"/>
      <c r="G541" s="29"/>
      <c r="H541" s="29"/>
      <c r="I541" s="29"/>
    </row>
    <row r="542" ht="14.25" customHeight="1">
      <c r="C542" s="29"/>
      <c r="D542" s="29"/>
      <c r="E542" s="29"/>
      <c r="F542" s="29"/>
      <c r="G542" s="29"/>
      <c r="H542" s="29"/>
      <c r="I542" s="29"/>
    </row>
    <row r="543" ht="14.25" customHeight="1">
      <c r="C543" s="29"/>
      <c r="D543" s="29"/>
      <c r="E543" s="29"/>
      <c r="F543" s="29"/>
      <c r="G543" s="29"/>
      <c r="H543" s="29"/>
      <c r="I543" s="29"/>
    </row>
    <row r="544" ht="14.25" customHeight="1">
      <c r="C544" s="29"/>
      <c r="D544" s="29"/>
      <c r="E544" s="29"/>
      <c r="F544" s="29"/>
      <c r="G544" s="29"/>
      <c r="H544" s="29"/>
      <c r="I544" s="29"/>
    </row>
    <row r="545" ht="14.25" customHeight="1">
      <c r="C545" s="29"/>
      <c r="D545" s="29"/>
      <c r="E545" s="29"/>
      <c r="F545" s="29"/>
      <c r="G545" s="29"/>
      <c r="H545" s="29"/>
      <c r="I545" s="29"/>
    </row>
    <row r="546" ht="14.25" customHeight="1">
      <c r="C546" s="29"/>
      <c r="D546" s="29"/>
      <c r="E546" s="29"/>
      <c r="F546" s="29"/>
      <c r="G546" s="29"/>
      <c r="H546" s="29"/>
      <c r="I546" s="29"/>
    </row>
    <row r="547" ht="14.25" customHeight="1">
      <c r="C547" s="29"/>
      <c r="D547" s="29"/>
      <c r="E547" s="29"/>
      <c r="F547" s="29"/>
      <c r="G547" s="29"/>
      <c r="H547" s="29"/>
      <c r="I547" s="29"/>
    </row>
    <row r="548" ht="14.25" customHeight="1">
      <c r="C548" s="29"/>
      <c r="D548" s="29"/>
      <c r="E548" s="29"/>
      <c r="F548" s="29"/>
      <c r="G548" s="29"/>
      <c r="H548" s="29"/>
      <c r="I548" s="29"/>
    </row>
    <row r="549" ht="14.25" customHeight="1">
      <c r="C549" s="29"/>
      <c r="D549" s="29"/>
      <c r="E549" s="29"/>
      <c r="F549" s="29"/>
      <c r="G549" s="29"/>
      <c r="H549" s="29"/>
      <c r="I549" s="29"/>
    </row>
    <row r="550" ht="14.25" customHeight="1">
      <c r="C550" s="29"/>
      <c r="D550" s="29"/>
      <c r="E550" s="29"/>
      <c r="F550" s="29"/>
      <c r="G550" s="29"/>
      <c r="H550" s="29"/>
      <c r="I550" s="29"/>
    </row>
    <row r="551" ht="14.25" customHeight="1">
      <c r="C551" s="29"/>
      <c r="D551" s="29"/>
      <c r="E551" s="29"/>
      <c r="F551" s="29"/>
      <c r="G551" s="29"/>
      <c r="H551" s="29"/>
      <c r="I551" s="29"/>
    </row>
    <row r="552" ht="14.25" customHeight="1">
      <c r="C552" s="29"/>
      <c r="D552" s="29"/>
      <c r="E552" s="29"/>
      <c r="F552" s="29"/>
      <c r="G552" s="29"/>
      <c r="H552" s="29"/>
      <c r="I552" s="29"/>
    </row>
    <row r="553" ht="14.25" customHeight="1">
      <c r="C553" s="29"/>
      <c r="D553" s="29"/>
      <c r="E553" s="29"/>
      <c r="F553" s="29"/>
      <c r="G553" s="29"/>
      <c r="H553" s="29"/>
      <c r="I553" s="29"/>
    </row>
    <row r="554" ht="14.25" customHeight="1">
      <c r="C554" s="29"/>
      <c r="D554" s="29"/>
      <c r="E554" s="29"/>
      <c r="F554" s="29"/>
      <c r="G554" s="29"/>
      <c r="H554" s="29"/>
      <c r="I554" s="29"/>
    </row>
    <row r="555" ht="14.25" customHeight="1">
      <c r="C555" s="29"/>
      <c r="D555" s="29"/>
      <c r="E555" s="29"/>
      <c r="F555" s="29"/>
      <c r="G555" s="29"/>
      <c r="H555" s="29"/>
      <c r="I555" s="29"/>
    </row>
    <row r="556" ht="14.25" customHeight="1">
      <c r="C556" s="29"/>
      <c r="D556" s="29"/>
      <c r="E556" s="29"/>
      <c r="F556" s="29"/>
      <c r="G556" s="29"/>
      <c r="H556" s="29"/>
      <c r="I556" s="29"/>
    </row>
    <row r="557" ht="14.25" customHeight="1">
      <c r="C557" s="29"/>
      <c r="D557" s="29"/>
      <c r="E557" s="29"/>
      <c r="F557" s="29"/>
      <c r="G557" s="29"/>
      <c r="H557" s="29"/>
      <c r="I557" s="29"/>
    </row>
    <row r="558" ht="14.25" customHeight="1">
      <c r="C558" s="29"/>
      <c r="D558" s="29"/>
      <c r="E558" s="29"/>
      <c r="F558" s="29"/>
      <c r="G558" s="29"/>
      <c r="H558" s="29"/>
      <c r="I558" s="29"/>
    </row>
    <row r="559" ht="14.25" customHeight="1">
      <c r="C559" s="29"/>
      <c r="D559" s="29"/>
      <c r="E559" s="29"/>
      <c r="F559" s="29"/>
      <c r="G559" s="29"/>
      <c r="H559" s="29"/>
      <c r="I559" s="29"/>
    </row>
    <row r="560" ht="14.25" customHeight="1">
      <c r="C560" s="29"/>
      <c r="D560" s="29"/>
      <c r="E560" s="29"/>
      <c r="F560" s="29"/>
      <c r="G560" s="29"/>
      <c r="H560" s="29"/>
      <c r="I560" s="29"/>
    </row>
    <row r="561" ht="14.25" customHeight="1">
      <c r="C561" s="29"/>
      <c r="D561" s="29"/>
      <c r="E561" s="29"/>
      <c r="F561" s="29"/>
      <c r="G561" s="29"/>
      <c r="H561" s="29"/>
      <c r="I561" s="29"/>
    </row>
    <row r="562" ht="14.25" customHeight="1">
      <c r="C562" s="29"/>
      <c r="D562" s="29"/>
      <c r="E562" s="29"/>
      <c r="F562" s="29"/>
      <c r="G562" s="29"/>
      <c r="H562" s="29"/>
      <c r="I562" s="29"/>
    </row>
    <row r="563" ht="14.25" customHeight="1">
      <c r="C563" s="29"/>
      <c r="D563" s="29"/>
      <c r="E563" s="29"/>
      <c r="F563" s="29"/>
      <c r="G563" s="29"/>
      <c r="H563" s="29"/>
      <c r="I563" s="29"/>
    </row>
    <row r="564" ht="14.25" customHeight="1">
      <c r="C564" s="29"/>
      <c r="D564" s="29"/>
      <c r="E564" s="29"/>
      <c r="F564" s="29"/>
      <c r="G564" s="29"/>
      <c r="H564" s="29"/>
      <c r="I564" s="29"/>
    </row>
    <row r="565" ht="14.25" customHeight="1">
      <c r="C565" s="29"/>
      <c r="D565" s="29"/>
      <c r="E565" s="29"/>
      <c r="F565" s="29"/>
      <c r="G565" s="29"/>
      <c r="H565" s="29"/>
      <c r="I565" s="29"/>
    </row>
    <row r="566" ht="14.25" customHeight="1">
      <c r="C566" s="29"/>
      <c r="D566" s="29"/>
      <c r="E566" s="29"/>
      <c r="F566" s="29"/>
      <c r="G566" s="29"/>
      <c r="H566" s="29"/>
      <c r="I566" s="29"/>
    </row>
    <row r="567" ht="14.25" customHeight="1">
      <c r="C567" s="29"/>
      <c r="D567" s="29"/>
      <c r="E567" s="29"/>
      <c r="F567" s="29"/>
      <c r="G567" s="29"/>
      <c r="H567" s="29"/>
      <c r="I567" s="29"/>
    </row>
    <row r="568" ht="14.25" customHeight="1">
      <c r="C568" s="29"/>
      <c r="D568" s="29"/>
      <c r="E568" s="29"/>
      <c r="F568" s="29"/>
      <c r="G568" s="29"/>
      <c r="H568" s="29"/>
      <c r="I568" s="29"/>
    </row>
    <row r="569" ht="14.25" customHeight="1">
      <c r="C569" s="29"/>
      <c r="D569" s="29"/>
      <c r="E569" s="29"/>
      <c r="F569" s="29"/>
      <c r="G569" s="29"/>
      <c r="H569" s="29"/>
      <c r="I569" s="29"/>
    </row>
    <row r="570" ht="14.25" customHeight="1">
      <c r="C570" s="29"/>
      <c r="D570" s="29"/>
      <c r="E570" s="29"/>
      <c r="F570" s="29"/>
      <c r="G570" s="29"/>
      <c r="H570" s="29"/>
      <c r="I570" s="29"/>
    </row>
    <row r="571" ht="14.25" customHeight="1">
      <c r="C571" s="29"/>
      <c r="D571" s="29"/>
      <c r="E571" s="29"/>
      <c r="F571" s="29"/>
      <c r="G571" s="29"/>
      <c r="H571" s="29"/>
      <c r="I571" s="29"/>
    </row>
    <row r="572" ht="14.25" customHeight="1">
      <c r="C572" s="29"/>
      <c r="D572" s="29"/>
      <c r="E572" s="29"/>
      <c r="F572" s="29"/>
      <c r="G572" s="29"/>
      <c r="H572" s="29"/>
      <c r="I572" s="29"/>
    </row>
    <row r="573" ht="14.25" customHeight="1">
      <c r="C573" s="29"/>
      <c r="D573" s="29"/>
      <c r="E573" s="29"/>
      <c r="F573" s="29"/>
      <c r="G573" s="29"/>
      <c r="H573" s="29"/>
      <c r="I573" s="29"/>
    </row>
    <row r="574" ht="14.25" customHeight="1">
      <c r="C574" s="29"/>
      <c r="D574" s="29"/>
      <c r="E574" s="29"/>
      <c r="F574" s="29"/>
      <c r="G574" s="29"/>
      <c r="H574" s="29"/>
      <c r="I574" s="29"/>
    </row>
    <row r="575" ht="14.25" customHeight="1">
      <c r="C575" s="29"/>
      <c r="D575" s="29"/>
      <c r="E575" s="29"/>
      <c r="F575" s="29"/>
      <c r="G575" s="29"/>
      <c r="H575" s="29"/>
      <c r="I575" s="29"/>
    </row>
    <row r="576" ht="14.25" customHeight="1">
      <c r="C576" s="29"/>
      <c r="D576" s="29"/>
      <c r="E576" s="29"/>
      <c r="F576" s="29"/>
      <c r="G576" s="29"/>
      <c r="H576" s="29"/>
      <c r="I576" s="29"/>
    </row>
    <row r="577" ht="14.25" customHeight="1">
      <c r="C577" s="29"/>
      <c r="D577" s="29"/>
      <c r="E577" s="29"/>
      <c r="F577" s="29"/>
      <c r="G577" s="29"/>
      <c r="H577" s="29"/>
      <c r="I577" s="29"/>
    </row>
    <row r="578" ht="14.25" customHeight="1">
      <c r="C578" s="29"/>
      <c r="D578" s="29"/>
      <c r="E578" s="29"/>
      <c r="F578" s="29"/>
      <c r="G578" s="29"/>
      <c r="H578" s="29"/>
      <c r="I578" s="29"/>
    </row>
    <row r="579" ht="14.25" customHeight="1">
      <c r="C579" s="29"/>
      <c r="D579" s="29"/>
      <c r="E579" s="29"/>
      <c r="F579" s="29"/>
      <c r="G579" s="29"/>
      <c r="H579" s="29"/>
      <c r="I579" s="29"/>
    </row>
    <row r="580" ht="14.25" customHeight="1">
      <c r="C580" s="29"/>
      <c r="D580" s="29"/>
      <c r="E580" s="29"/>
      <c r="F580" s="29"/>
      <c r="G580" s="29"/>
      <c r="H580" s="29"/>
      <c r="I580" s="29"/>
    </row>
    <row r="581" ht="14.25" customHeight="1">
      <c r="C581" s="29"/>
      <c r="D581" s="29"/>
      <c r="E581" s="29"/>
      <c r="F581" s="29"/>
      <c r="G581" s="29"/>
      <c r="H581" s="29"/>
      <c r="I581" s="29"/>
    </row>
    <row r="582" ht="14.25" customHeight="1">
      <c r="C582" s="29"/>
      <c r="D582" s="29"/>
      <c r="E582" s="29"/>
      <c r="F582" s="29"/>
      <c r="G582" s="29"/>
      <c r="H582" s="29"/>
      <c r="I582" s="29"/>
    </row>
    <row r="583" ht="14.25" customHeight="1">
      <c r="C583" s="29"/>
      <c r="D583" s="29"/>
      <c r="E583" s="29"/>
      <c r="F583" s="29"/>
      <c r="G583" s="29"/>
      <c r="H583" s="29"/>
      <c r="I583" s="29"/>
    </row>
    <row r="584" ht="14.25" customHeight="1">
      <c r="C584" s="29"/>
      <c r="D584" s="29"/>
      <c r="E584" s="29"/>
      <c r="F584" s="29"/>
      <c r="G584" s="29"/>
      <c r="H584" s="29"/>
      <c r="I584" s="29"/>
    </row>
    <row r="585" ht="14.25" customHeight="1">
      <c r="C585" s="29"/>
      <c r="D585" s="29"/>
      <c r="E585" s="29"/>
      <c r="F585" s="29"/>
      <c r="G585" s="29"/>
      <c r="H585" s="29"/>
      <c r="I585" s="29"/>
    </row>
    <row r="586" ht="14.25" customHeight="1">
      <c r="C586" s="29"/>
      <c r="D586" s="29"/>
      <c r="E586" s="29"/>
      <c r="F586" s="29"/>
      <c r="G586" s="29"/>
      <c r="H586" s="29"/>
      <c r="I586" s="29"/>
    </row>
    <row r="587" ht="14.25" customHeight="1">
      <c r="C587" s="29"/>
      <c r="D587" s="29"/>
      <c r="E587" s="29"/>
      <c r="F587" s="29"/>
      <c r="G587" s="29"/>
      <c r="H587" s="29"/>
      <c r="I587" s="29"/>
    </row>
    <row r="588" ht="14.25" customHeight="1">
      <c r="C588" s="29"/>
      <c r="D588" s="29"/>
      <c r="E588" s="29"/>
      <c r="F588" s="29"/>
      <c r="G588" s="29"/>
      <c r="H588" s="29"/>
      <c r="I588" s="29"/>
    </row>
    <row r="589" ht="14.25" customHeight="1">
      <c r="C589" s="29"/>
      <c r="D589" s="29"/>
      <c r="E589" s="29"/>
      <c r="F589" s="29"/>
      <c r="G589" s="29"/>
      <c r="H589" s="29"/>
      <c r="I589" s="29"/>
    </row>
    <row r="590" ht="14.25" customHeight="1">
      <c r="C590" s="29"/>
      <c r="D590" s="29"/>
      <c r="E590" s="29"/>
      <c r="F590" s="29"/>
      <c r="G590" s="29"/>
      <c r="H590" s="29"/>
      <c r="I590" s="29"/>
    </row>
    <row r="591" ht="14.25" customHeight="1">
      <c r="C591" s="29"/>
      <c r="D591" s="29"/>
      <c r="E591" s="29"/>
      <c r="F591" s="29"/>
      <c r="G591" s="29"/>
      <c r="H591" s="29"/>
      <c r="I591" s="29"/>
    </row>
    <row r="592" ht="14.25" customHeight="1">
      <c r="C592" s="29"/>
      <c r="D592" s="29"/>
      <c r="E592" s="29"/>
      <c r="F592" s="29"/>
      <c r="G592" s="29"/>
      <c r="H592" s="29"/>
      <c r="I592" s="29"/>
    </row>
    <row r="593" ht="14.25" customHeight="1">
      <c r="C593" s="29"/>
      <c r="D593" s="29"/>
      <c r="E593" s="29"/>
      <c r="F593" s="29"/>
      <c r="G593" s="29"/>
      <c r="H593" s="29"/>
      <c r="I593" s="29"/>
    </row>
    <row r="594" ht="14.25" customHeight="1">
      <c r="C594" s="29"/>
      <c r="D594" s="29"/>
      <c r="E594" s="29"/>
      <c r="F594" s="29"/>
      <c r="G594" s="29"/>
      <c r="H594" s="29"/>
      <c r="I594" s="29"/>
    </row>
    <row r="595" ht="14.25" customHeight="1">
      <c r="C595" s="29"/>
      <c r="D595" s="29"/>
      <c r="E595" s="29"/>
      <c r="F595" s="29"/>
      <c r="G595" s="29"/>
      <c r="H595" s="29"/>
      <c r="I595" s="29"/>
    </row>
    <row r="596" ht="14.25" customHeight="1">
      <c r="C596" s="29"/>
      <c r="D596" s="29"/>
      <c r="E596" s="29"/>
      <c r="F596" s="29"/>
      <c r="G596" s="29"/>
      <c r="H596" s="29"/>
      <c r="I596" s="29"/>
    </row>
    <row r="597" ht="14.25" customHeight="1">
      <c r="C597" s="29"/>
      <c r="D597" s="29"/>
      <c r="E597" s="29"/>
      <c r="F597" s="29"/>
      <c r="G597" s="29"/>
      <c r="H597" s="29"/>
      <c r="I597" s="29"/>
    </row>
    <row r="598" ht="14.25" customHeight="1">
      <c r="C598" s="29"/>
      <c r="D598" s="29"/>
      <c r="E598" s="29"/>
      <c r="F598" s="29"/>
      <c r="G598" s="29"/>
      <c r="H598" s="29"/>
      <c r="I598" s="29"/>
    </row>
    <row r="599" ht="14.25" customHeight="1">
      <c r="C599" s="29"/>
      <c r="D599" s="29"/>
      <c r="E599" s="29"/>
      <c r="F599" s="29"/>
      <c r="G599" s="29"/>
      <c r="H599" s="29"/>
      <c r="I599" s="29"/>
    </row>
    <row r="600" ht="14.25" customHeight="1">
      <c r="C600" s="29"/>
      <c r="D600" s="29"/>
      <c r="E600" s="29"/>
      <c r="F600" s="29"/>
      <c r="G600" s="29"/>
      <c r="H600" s="29"/>
      <c r="I600" s="29"/>
    </row>
    <row r="601" ht="14.25" customHeight="1">
      <c r="C601" s="29"/>
      <c r="D601" s="29"/>
      <c r="E601" s="29"/>
      <c r="F601" s="29"/>
      <c r="G601" s="29"/>
      <c r="H601" s="29"/>
      <c r="I601" s="29"/>
    </row>
    <row r="602" ht="14.25" customHeight="1">
      <c r="C602" s="29"/>
      <c r="D602" s="29"/>
      <c r="E602" s="29"/>
      <c r="F602" s="29"/>
      <c r="G602" s="29"/>
      <c r="H602" s="29"/>
      <c r="I602" s="29"/>
    </row>
    <row r="603" ht="14.25" customHeight="1">
      <c r="C603" s="29"/>
      <c r="D603" s="29"/>
      <c r="E603" s="29"/>
      <c r="F603" s="29"/>
      <c r="G603" s="29"/>
      <c r="H603" s="29"/>
      <c r="I603" s="29"/>
    </row>
    <row r="604" ht="14.25" customHeight="1">
      <c r="C604" s="29"/>
      <c r="D604" s="29"/>
      <c r="E604" s="29"/>
      <c r="F604" s="29"/>
      <c r="G604" s="29"/>
      <c r="H604" s="29"/>
      <c r="I604" s="29"/>
    </row>
    <row r="605" ht="14.25" customHeight="1">
      <c r="C605" s="29"/>
      <c r="D605" s="29"/>
      <c r="E605" s="29"/>
      <c r="F605" s="29"/>
      <c r="G605" s="29"/>
      <c r="H605" s="29"/>
      <c r="I605" s="29"/>
    </row>
    <row r="606" ht="14.25" customHeight="1">
      <c r="C606" s="29"/>
      <c r="D606" s="29"/>
      <c r="E606" s="29"/>
      <c r="F606" s="29"/>
      <c r="G606" s="29"/>
      <c r="H606" s="29"/>
      <c r="I606" s="29"/>
    </row>
    <row r="607" ht="14.25" customHeight="1">
      <c r="C607" s="29"/>
      <c r="D607" s="29"/>
      <c r="E607" s="29"/>
      <c r="F607" s="29"/>
      <c r="G607" s="29"/>
      <c r="H607" s="29"/>
      <c r="I607" s="29"/>
    </row>
    <row r="608" ht="14.25" customHeight="1">
      <c r="C608" s="29"/>
      <c r="D608" s="29"/>
      <c r="E608" s="29"/>
      <c r="F608" s="29"/>
      <c r="G608" s="29"/>
      <c r="H608" s="29"/>
      <c r="I608" s="29"/>
    </row>
    <row r="609" ht="14.25" customHeight="1">
      <c r="C609" s="29"/>
      <c r="D609" s="29"/>
      <c r="E609" s="29"/>
      <c r="F609" s="29"/>
      <c r="G609" s="29"/>
      <c r="H609" s="29"/>
      <c r="I609" s="29"/>
    </row>
    <row r="610" ht="14.25" customHeight="1">
      <c r="C610" s="29"/>
      <c r="D610" s="29"/>
      <c r="E610" s="29"/>
      <c r="F610" s="29"/>
      <c r="G610" s="29"/>
      <c r="H610" s="29"/>
      <c r="I610" s="29"/>
    </row>
    <row r="611" ht="14.25" customHeight="1">
      <c r="C611" s="29"/>
      <c r="D611" s="29"/>
      <c r="E611" s="29"/>
      <c r="F611" s="29"/>
      <c r="G611" s="29"/>
      <c r="H611" s="29"/>
      <c r="I611" s="29"/>
    </row>
    <row r="612" ht="14.25" customHeight="1">
      <c r="C612" s="29"/>
      <c r="D612" s="29"/>
      <c r="E612" s="29"/>
      <c r="F612" s="29"/>
      <c r="G612" s="29"/>
      <c r="H612" s="29"/>
      <c r="I612" s="29"/>
    </row>
    <row r="613" ht="14.25" customHeight="1">
      <c r="C613" s="29"/>
      <c r="D613" s="29"/>
      <c r="E613" s="29"/>
      <c r="F613" s="29"/>
      <c r="G613" s="29"/>
      <c r="H613" s="29"/>
      <c r="I613" s="29"/>
    </row>
    <row r="614" ht="14.25" customHeight="1">
      <c r="C614" s="29"/>
      <c r="D614" s="29"/>
      <c r="E614" s="29"/>
      <c r="F614" s="29"/>
      <c r="G614" s="29"/>
      <c r="H614" s="29"/>
      <c r="I614" s="29"/>
    </row>
    <row r="615" ht="14.25" customHeight="1">
      <c r="C615" s="29"/>
      <c r="D615" s="29"/>
      <c r="E615" s="29"/>
      <c r="F615" s="29"/>
      <c r="G615" s="29"/>
      <c r="H615" s="29"/>
      <c r="I615" s="29"/>
    </row>
    <row r="616" ht="14.25" customHeight="1">
      <c r="C616" s="29"/>
      <c r="D616" s="29"/>
      <c r="E616" s="29"/>
      <c r="F616" s="29"/>
      <c r="G616" s="29"/>
      <c r="H616" s="29"/>
      <c r="I616" s="29"/>
    </row>
    <row r="617" ht="14.25" customHeight="1">
      <c r="C617" s="29"/>
      <c r="D617" s="29"/>
      <c r="E617" s="29"/>
      <c r="F617" s="29"/>
      <c r="G617" s="29"/>
      <c r="H617" s="29"/>
      <c r="I617" s="29"/>
    </row>
    <row r="618" ht="14.25" customHeight="1">
      <c r="C618" s="29"/>
      <c r="D618" s="29"/>
      <c r="E618" s="29"/>
      <c r="F618" s="29"/>
      <c r="G618" s="29"/>
      <c r="H618" s="29"/>
      <c r="I618" s="29"/>
    </row>
    <row r="619" ht="14.25" customHeight="1">
      <c r="C619" s="29"/>
      <c r="D619" s="29"/>
      <c r="E619" s="29"/>
      <c r="F619" s="29"/>
      <c r="G619" s="29"/>
      <c r="H619" s="29"/>
      <c r="I619" s="29"/>
    </row>
    <row r="620" ht="14.25" customHeight="1">
      <c r="C620" s="29"/>
      <c r="D620" s="29"/>
      <c r="E620" s="29"/>
      <c r="F620" s="29"/>
      <c r="G620" s="29"/>
      <c r="H620" s="29"/>
      <c r="I620" s="29"/>
    </row>
    <row r="621" ht="14.25" customHeight="1">
      <c r="C621" s="29"/>
      <c r="D621" s="29"/>
      <c r="E621" s="29"/>
      <c r="F621" s="29"/>
      <c r="G621" s="29"/>
      <c r="H621" s="29"/>
      <c r="I621" s="29"/>
    </row>
    <row r="622" ht="14.25" customHeight="1">
      <c r="C622" s="29"/>
      <c r="D622" s="29"/>
      <c r="E622" s="29"/>
      <c r="F622" s="29"/>
      <c r="G622" s="29"/>
      <c r="H622" s="29"/>
      <c r="I622" s="29"/>
    </row>
    <row r="623" ht="14.25" customHeight="1">
      <c r="C623" s="29"/>
      <c r="D623" s="29"/>
      <c r="E623" s="29"/>
      <c r="F623" s="29"/>
      <c r="G623" s="29"/>
      <c r="H623" s="29"/>
      <c r="I623" s="29"/>
    </row>
    <row r="624" ht="14.25" customHeight="1">
      <c r="C624" s="29"/>
      <c r="D624" s="29"/>
      <c r="E624" s="29"/>
      <c r="F624" s="29"/>
      <c r="G624" s="29"/>
      <c r="H624" s="29"/>
      <c r="I624" s="29"/>
    </row>
    <row r="625" ht="14.25" customHeight="1">
      <c r="C625" s="29"/>
      <c r="D625" s="29"/>
      <c r="E625" s="29"/>
      <c r="F625" s="29"/>
      <c r="G625" s="29"/>
      <c r="H625" s="29"/>
      <c r="I625" s="29"/>
    </row>
    <row r="626" ht="14.25" customHeight="1">
      <c r="C626" s="29"/>
      <c r="D626" s="29"/>
      <c r="E626" s="29"/>
      <c r="F626" s="29"/>
      <c r="G626" s="29"/>
      <c r="H626" s="29"/>
      <c r="I626" s="29"/>
    </row>
    <row r="627" ht="14.25" customHeight="1">
      <c r="C627" s="29"/>
      <c r="D627" s="29"/>
      <c r="E627" s="29"/>
      <c r="F627" s="29"/>
      <c r="G627" s="29"/>
      <c r="H627" s="29"/>
      <c r="I627" s="29"/>
    </row>
    <row r="628" ht="14.25" customHeight="1">
      <c r="C628" s="29"/>
      <c r="D628" s="29"/>
      <c r="E628" s="29"/>
      <c r="F628" s="29"/>
      <c r="G628" s="29"/>
      <c r="H628" s="29"/>
      <c r="I628" s="29"/>
    </row>
    <row r="629" ht="14.25" customHeight="1">
      <c r="C629" s="29"/>
      <c r="D629" s="29"/>
      <c r="E629" s="29"/>
      <c r="F629" s="29"/>
      <c r="G629" s="29"/>
      <c r="H629" s="29"/>
      <c r="I629" s="29"/>
    </row>
    <row r="630" ht="14.25" customHeight="1">
      <c r="C630" s="29"/>
      <c r="D630" s="29"/>
      <c r="E630" s="29"/>
      <c r="F630" s="29"/>
      <c r="G630" s="29"/>
      <c r="H630" s="29"/>
      <c r="I630" s="29"/>
    </row>
    <row r="631" ht="14.25" customHeight="1">
      <c r="C631" s="29"/>
      <c r="D631" s="29"/>
      <c r="E631" s="29"/>
      <c r="F631" s="29"/>
      <c r="G631" s="29"/>
      <c r="H631" s="29"/>
      <c r="I631" s="29"/>
    </row>
    <row r="632" ht="14.25" customHeight="1">
      <c r="C632" s="29"/>
      <c r="D632" s="29"/>
      <c r="E632" s="29"/>
      <c r="F632" s="29"/>
      <c r="G632" s="29"/>
      <c r="H632" s="29"/>
      <c r="I632" s="29"/>
    </row>
    <row r="633" ht="14.25" customHeight="1">
      <c r="C633" s="29"/>
      <c r="D633" s="29"/>
      <c r="E633" s="29"/>
      <c r="F633" s="29"/>
      <c r="G633" s="29"/>
      <c r="H633" s="29"/>
      <c r="I633" s="29"/>
    </row>
    <row r="634" ht="14.25" customHeight="1">
      <c r="C634" s="29"/>
      <c r="D634" s="29"/>
      <c r="E634" s="29"/>
      <c r="F634" s="29"/>
      <c r="G634" s="29"/>
      <c r="H634" s="29"/>
      <c r="I634" s="29"/>
    </row>
    <row r="635" ht="14.25" customHeight="1">
      <c r="C635" s="29"/>
      <c r="D635" s="29"/>
      <c r="E635" s="29"/>
      <c r="F635" s="29"/>
      <c r="G635" s="29"/>
      <c r="H635" s="29"/>
      <c r="I635" s="29"/>
    </row>
    <row r="636" ht="14.25" customHeight="1">
      <c r="C636" s="29"/>
      <c r="D636" s="29"/>
      <c r="E636" s="29"/>
      <c r="F636" s="29"/>
      <c r="G636" s="29"/>
      <c r="H636" s="29"/>
      <c r="I636" s="29"/>
    </row>
    <row r="637" ht="14.25" customHeight="1">
      <c r="C637" s="29"/>
      <c r="D637" s="29"/>
      <c r="E637" s="29"/>
      <c r="F637" s="29"/>
      <c r="G637" s="29"/>
      <c r="H637" s="29"/>
      <c r="I637" s="29"/>
    </row>
    <row r="638" ht="14.25" customHeight="1">
      <c r="C638" s="29"/>
      <c r="D638" s="29"/>
      <c r="E638" s="29"/>
      <c r="F638" s="29"/>
      <c r="G638" s="29"/>
      <c r="H638" s="29"/>
      <c r="I638" s="29"/>
    </row>
    <row r="639" ht="14.25" customHeight="1">
      <c r="C639" s="29"/>
      <c r="D639" s="29"/>
      <c r="E639" s="29"/>
      <c r="F639" s="29"/>
      <c r="G639" s="29"/>
      <c r="H639" s="29"/>
      <c r="I639" s="29"/>
    </row>
    <row r="640" ht="14.25" customHeight="1">
      <c r="C640" s="29"/>
      <c r="D640" s="29"/>
      <c r="E640" s="29"/>
      <c r="F640" s="29"/>
      <c r="G640" s="29"/>
      <c r="H640" s="29"/>
      <c r="I640" s="29"/>
    </row>
    <row r="641" ht="14.25" customHeight="1">
      <c r="C641" s="29"/>
      <c r="D641" s="29"/>
      <c r="E641" s="29"/>
      <c r="F641" s="29"/>
      <c r="G641" s="29"/>
      <c r="H641" s="29"/>
      <c r="I641" s="29"/>
    </row>
    <row r="642" ht="14.25" customHeight="1">
      <c r="C642" s="29"/>
      <c r="D642" s="29"/>
      <c r="E642" s="29"/>
      <c r="F642" s="29"/>
      <c r="G642" s="29"/>
      <c r="H642" s="29"/>
      <c r="I642" s="29"/>
    </row>
    <row r="643" ht="14.25" customHeight="1">
      <c r="C643" s="29"/>
      <c r="D643" s="29"/>
      <c r="E643" s="29"/>
      <c r="F643" s="29"/>
      <c r="G643" s="29"/>
      <c r="H643" s="29"/>
      <c r="I643" s="29"/>
    </row>
    <row r="644" ht="14.25" customHeight="1">
      <c r="C644" s="29"/>
      <c r="D644" s="29"/>
      <c r="E644" s="29"/>
      <c r="F644" s="29"/>
      <c r="G644" s="29"/>
      <c r="H644" s="29"/>
      <c r="I644" s="29"/>
    </row>
    <row r="645" ht="14.25" customHeight="1">
      <c r="C645" s="29"/>
      <c r="D645" s="29"/>
      <c r="E645" s="29"/>
      <c r="F645" s="29"/>
      <c r="G645" s="29"/>
      <c r="H645" s="29"/>
      <c r="I645" s="29"/>
    </row>
    <row r="646" ht="14.25" customHeight="1">
      <c r="C646" s="29"/>
      <c r="D646" s="29"/>
      <c r="E646" s="29"/>
      <c r="F646" s="29"/>
      <c r="G646" s="29"/>
      <c r="H646" s="29"/>
      <c r="I646" s="29"/>
    </row>
    <row r="647" ht="14.25" customHeight="1">
      <c r="C647" s="29"/>
      <c r="D647" s="29"/>
      <c r="E647" s="29"/>
      <c r="F647" s="29"/>
      <c r="G647" s="29"/>
      <c r="H647" s="29"/>
      <c r="I647" s="29"/>
    </row>
    <row r="648" ht="14.25" customHeight="1">
      <c r="C648" s="29"/>
      <c r="D648" s="29"/>
      <c r="E648" s="29"/>
      <c r="F648" s="29"/>
      <c r="G648" s="29"/>
      <c r="H648" s="29"/>
      <c r="I648" s="29"/>
    </row>
    <row r="649" ht="14.25" customHeight="1">
      <c r="C649" s="29"/>
      <c r="D649" s="29"/>
      <c r="E649" s="29"/>
      <c r="F649" s="29"/>
      <c r="G649" s="29"/>
      <c r="H649" s="29"/>
      <c r="I649" s="29"/>
    </row>
    <row r="650" ht="14.25" customHeight="1">
      <c r="C650" s="29"/>
      <c r="D650" s="29"/>
      <c r="E650" s="29"/>
      <c r="F650" s="29"/>
      <c r="G650" s="29"/>
      <c r="H650" s="29"/>
      <c r="I650" s="29"/>
    </row>
    <row r="651" ht="14.25" customHeight="1">
      <c r="C651" s="29"/>
      <c r="D651" s="29"/>
      <c r="E651" s="29"/>
      <c r="F651" s="29"/>
      <c r="G651" s="29"/>
      <c r="H651" s="29"/>
      <c r="I651" s="29"/>
    </row>
    <row r="652" ht="14.25" customHeight="1">
      <c r="C652" s="29"/>
      <c r="D652" s="29"/>
      <c r="E652" s="29"/>
      <c r="F652" s="29"/>
      <c r="G652" s="29"/>
      <c r="H652" s="29"/>
      <c r="I652" s="29"/>
    </row>
    <row r="653" ht="14.25" customHeight="1">
      <c r="C653" s="29"/>
      <c r="D653" s="29"/>
      <c r="E653" s="29"/>
      <c r="F653" s="29"/>
      <c r="G653" s="29"/>
      <c r="H653" s="29"/>
      <c r="I653" s="29"/>
    </row>
    <row r="654" ht="14.25" customHeight="1">
      <c r="C654" s="29"/>
      <c r="D654" s="29"/>
      <c r="E654" s="29"/>
      <c r="F654" s="29"/>
      <c r="G654" s="29"/>
      <c r="H654" s="29"/>
      <c r="I654" s="29"/>
    </row>
    <row r="655" ht="14.25" customHeight="1">
      <c r="C655" s="29"/>
      <c r="D655" s="29"/>
      <c r="E655" s="29"/>
      <c r="F655" s="29"/>
      <c r="G655" s="29"/>
      <c r="H655" s="29"/>
      <c r="I655" s="29"/>
    </row>
    <row r="656" ht="14.25" customHeight="1">
      <c r="C656" s="29"/>
      <c r="D656" s="29"/>
      <c r="E656" s="29"/>
      <c r="F656" s="29"/>
      <c r="G656" s="29"/>
      <c r="H656" s="29"/>
      <c r="I656" s="29"/>
    </row>
    <row r="657" ht="14.25" customHeight="1">
      <c r="C657" s="29"/>
      <c r="D657" s="29"/>
      <c r="E657" s="29"/>
      <c r="F657" s="29"/>
      <c r="G657" s="29"/>
      <c r="H657" s="29"/>
      <c r="I657" s="29"/>
    </row>
    <row r="658" ht="14.25" customHeight="1">
      <c r="C658" s="29"/>
      <c r="D658" s="29"/>
      <c r="E658" s="29"/>
      <c r="F658" s="29"/>
      <c r="G658" s="29"/>
      <c r="H658" s="29"/>
      <c r="I658" s="29"/>
    </row>
    <row r="659" ht="14.25" customHeight="1">
      <c r="C659" s="29"/>
      <c r="D659" s="29"/>
      <c r="E659" s="29"/>
      <c r="F659" s="29"/>
      <c r="G659" s="29"/>
      <c r="H659" s="29"/>
      <c r="I659" s="29"/>
    </row>
    <row r="660" ht="14.25" customHeight="1">
      <c r="C660" s="29"/>
      <c r="D660" s="29"/>
      <c r="E660" s="29"/>
      <c r="F660" s="29"/>
      <c r="G660" s="29"/>
      <c r="H660" s="29"/>
      <c r="I660" s="29"/>
    </row>
    <row r="661" ht="14.25" customHeight="1">
      <c r="C661" s="29"/>
      <c r="D661" s="29"/>
      <c r="E661" s="29"/>
      <c r="F661" s="29"/>
      <c r="G661" s="29"/>
      <c r="H661" s="29"/>
      <c r="I661" s="29"/>
    </row>
    <row r="662" ht="14.25" customHeight="1">
      <c r="C662" s="29"/>
      <c r="D662" s="29"/>
      <c r="E662" s="29"/>
      <c r="F662" s="29"/>
      <c r="G662" s="29"/>
      <c r="H662" s="29"/>
      <c r="I662" s="29"/>
    </row>
    <row r="663" ht="14.25" customHeight="1">
      <c r="C663" s="29"/>
      <c r="D663" s="29"/>
      <c r="E663" s="29"/>
      <c r="F663" s="29"/>
      <c r="G663" s="29"/>
      <c r="H663" s="29"/>
      <c r="I663" s="29"/>
    </row>
    <row r="664" ht="14.25" customHeight="1">
      <c r="C664" s="29"/>
      <c r="D664" s="29"/>
      <c r="E664" s="29"/>
      <c r="F664" s="29"/>
      <c r="G664" s="29"/>
      <c r="H664" s="29"/>
      <c r="I664" s="29"/>
    </row>
    <row r="665" ht="14.25" customHeight="1">
      <c r="C665" s="29"/>
      <c r="D665" s="29"/>
      <c r="E665" s="29"/>
      <c r="F665" s="29"/>
      <c r="G665" s="29"/>
      <c r="H665" s="29"/>
      <c r="I665" s="29"/>
    </row>
    <row r="666" ht="14.25" customHeight="1">
      <c r="C666" s="29"/>
      <c r="D666" s="29"/>
      <c r="E666" s="29"/>
      <c r="F666" s="29"/>
      <c r="G666" s="29"/>
      <c r="H666" s="29"/>
      <c r="I666" s="29"/>
    </row>
    <row r="667" ht="14.25" customHeight="1">
      <c r="C667" s="29"/>
      <c r="D667" s="29"/>
      <c r="E667" s="29"/>
      <c r="F667" s="29"/>
      <c r="G667" s="29"/>
      <c r="H667" s="29"/>
      <c r="I667" s="29"/>
    </row>
    <row r="668" ht="14.25" customHeight="1">
      <c r="C668" s="29"/>
      <c r="D668" s="29"/>
      <c r="E668" s="29"/>
      <c r="F668" s="29"/>
      <c r="G668" s="29"/>
      <c r="H668" s="29"/>
      <c r="I668" s="29"/>
    </row>
    <row r="669" ht="14.25" customHeight="1">
      <c r="C669" s="29"/>
      <c r="D669" s="29"/>
      <c r="E669" s="29"/>
      <c r="F669" s="29"/>
      <c r="G669" s="29"/>
      <c r="H669" s="29"/>
      <c r="I669" s="29"/>
    </row>
    <row r="670" ht="14.25" customHeight="1">
      <c r="C670" s="29"/>
      <c r="D670" s="29"/>
      <c r="E670" s="29"/>
      <c r="F670" s="29"/>
      <c r="G670" s="29"/>
      <c r="H670" s="29"/>
      <c r="I670" s="29"/>
    </row>
    <row r="671" ht="14.25" customHeight="1">
      <c r="C671" s="29"/>
      <c r="D671" s="29"/>
      <c r="E671" s="29"/>
      <c r="F671" s="29"/>
      <c r="G671" s="29"/>
      <c r="H671" s="29"/>
      <c r="I671" s="29"/>
    </row>
    <row r="672" ht="14.25" customHeight="1">
      <c r="C672" s="29"/>
      <c r="D672" s="29"/>
      <c r="E672" s="29"/>
      <c r="F672" s="29"/>
      <c r="G672" s="29"/>
      <c r="H672" s="29"/>
      <c r="I672" s="29"/>
    </row>
    <row r="673" ht="14.25" customHeight="1">
      <c r="C673" s="29"/>
      <c r="D673" s="29"/>
      <c r="E673" s="29"/>
      <c r="F673" s="29"/>
      <c r="G673" s="29"/>
      <c r="H673" s="29"/>
      <c r="I673" s="29"/>
    </row>
    <row r="674" ht="14.25" customHeight="1">
      <c r="C674" s="29"/>
      <c r="D674" s="29"/>
      <c r="E674" s="29"/>
      <c r="F674" s="29"/>
      <c r="G674" s="29"/>
      <c r="H674" s="29"/>
      <c r="I674" s="29"/>
    </row>
    <row r="675" ht="14.25" customHeight="1">
      <c r="C675" s="29"/>
      <c r="D675" s="29"/>
      <c r="E675" s="29"/>
      <c r="F675" s="29"/>
      <c r="G675" s="29"/>
      <c r="H675" s="29"/>
      <c r="I675" s="29"/>
    </row>
    <row r="676" ht="14.25" customHeight="1">
      <c r="C676" s="29"/>
      <c r="D676" s="29"/>
      <c r="E676" s="29"/>
      <c r="F676" s="29"/>
      <c r="G676" s="29"/>
      <c r="H676" s="29"/>
      <c r="I676" s="29"/>
    </row>
    <row r="677" ht="14.25" customHeight="1">
      <c r="C677" s="29"/>
      <c r="D677" s="29"/>
      <c r="E677" s="29"/>
      <c r="F677" s="29"/>
      <c r="G677" s="29"/>
      <c r="H677" s="29"/>
      <c r="I677" s="29"/>
    </row>
    <row r="678" ht="14.25" customHeight="1">
      <c r="C678" s="29"/>
      <c r="D678" s="29"/>
      <c r="E678" s="29"/>
      <c r="F678" s="29"/>
      <c r="G678" s="29"/>
      <c r="H678" s="29"/>
      <c r="I678" s="29"/>
    </row>
    <row r="679" ht="14.25" customHeight="1">
      <c r="C679" s="29"/>
      <c r="D679" s="29"/>
      <c r="E679" s="29"/>
      <c r="F679" s="29"/>
      <c r="G679" s="29"/>
      <c r="H679" s="29"/>
      <c r="I679" s="29"/>
    </row>
    <row r="680" ht="14.25" customHeight="1">
      <c r="C680" s="29"/>
      <c r="D680" s="29"/>
      <c r="E680" s="29"/>
      <c r="F680" s="29"/>
      <c r="G680" s="29"/>
      <c r="H680" s="29"/>
      <c r="I680" s="29"/>
    </row>
    <row r="681" ht="14.25" customHeight="1">
      <c r="C681" s="29"/>
      <c r="D681" s="29"/>
      <c r="E681" s="29"/>
      <c r="F681" s="29"/>
      <c r="G681" s="29"/>
      <c r="H681" s="29"/>
      <c r="I681" s="29"/>
    </row>
    <row r="682" ht="14.25" customHeight="1">
      <c r="C682" s="29"/>
      <c r="D682" s="29"/>
      <c r="E682" s="29"/>
      <c r="F682" s="29"/>
      <c r="G682" s="29"/>
      <c r="H682" s="29"/>
      <c r="I682" s="29"/>
    </row>
    <row r="683" ht="14.25" customHeight="1">
      <c r="C683" s="29"/>
      <c r="D683" s="29"/>
      <c r="E683" s="29"/>
      <c r="F683" s="29"/>
      <c r="G683" s="29"/>
      <c r="H683" s="29"/>
      <c r="I683" s="29"/>
    </row>
    <row r="684" ht="14.25" customHeight="1">
      <c r="C684" s="29"/>
      <c r="D684" s="29"/>
      <c r="E684" s="29"/>
      <c r="F684" s="29"/>
      <c r="G684" s="29"/>
      <c r="H684" s="29"/>
      <c r="I684" s="29"/>
    </row>
    <row r="685" ht="14.25" customHeight="1">
      <c r="C685" s="29"/>
      <c r="D685" s="29"/>
      <c r="E685" s="29"/>
      <c r="F685" s="29"/>
      <c r="G685" s="29"/>
      <c r="H685" s="29"/>
      <c r="I685" s="29"/>
    </row>
    <row r="686" ht="14.25" customHeight="1">
      <c r="C686" s="29"/>
      <c r="D686" s="29"/>
      <c r="E686" s="29"/>
      <c r="F686" s="29"/>
      <c r="G686" s="29"/>
      <c r="H686" s="29"/>
      <c r="I686" s="29"/>
    </row>
    <row r="687" ht="14.25" customHeight="1">
      <c r="C687" s="29"/>
      <c r="D687" s="29"/>
      <c r="E687" s="29"/>
      <c r="F687" s="29"/>
      <c r="G687" s="29"/>
      <c r="H687" s="29"/>
      <c r="I687" s="29"/>
    </row>
    <row r="688" ht="14.25" customHeight="1">
      <c r="C688" s="29"/>
      <c r="D688" s="29"/>
      <c r="E688" s="29"/>
      <c r="F688" s="29"/>
      <c r="G688" s="29"/>
      <c r="H688" s="29"/>
      <c r="I688" s="29"/>
    </row>
    <row r="689" ht="14.25" customHeight="1">
      <c r="C689" s="29"/>
      <c r="D689" s="29"/>
      <c r="E689" s="29"/>
      <c r="F689" s="29"/>
      <c r="G689" s="29"/>
      <c r="H689" s="29"/>
      <c r="I689" s="29"/>
    </row>
    <row r="690" ht="14.25" customHeight="1">
      <c r="C690" s="29"/>
      <c r="D690" s="29"/>
      <c r="E690" s="29"/>
      <c r="F690" s="29"/>
      <c r="G690" s="29"/>
      <c r="H690" s="29"/>
      <c r="I690" s="29"/>
    </row>
    <row r="691" ht="14.25" customHeight="1">
      <c r="C691" s="29"/>
      <c r="D691" s="29"/>
      <c r="E691" s="29"/>
      <c r="F691" s="29"/>
      <c r="G691" s="29"/>
      <c r="H691" s="29"/>
      <c r="I691" s="29"/>
    </row>
    <row r="692" ht="14.25" customHeight="1">
      <c r="C692" s="29"/>
      <c r="D692" s="29"/>
      <c r="E692" s="29"/>
      <c r="F692" s="29"/>
      <c r="G692" s="29"/>
      <c r="H692" s="29"/>
      <c r="I692" s="29"/>
    </row>
    <row r="693" ht="14.25" customHeight="1">
      <c r="C693" s="29"/>
      <c r="D693" s="29"/>
      <c r="E693" s="29"/>
      <c r="F693" s="29"/>
      <c r="G693" s="29"/>
      <c r="H693" s="29"/>
      <c r="I693" s="29"/>
    </row>
    <row r="694" ht="14.25" customHeight="1">
      <c r="C694" s="29"/>
      <c r="D694" s="29"/>
      <c r="E694" s="29"/>
      <c r="F694" s="29"/>
      <c r="G694" s="29"/>
      <c r="H694" s="29"/>
      <c r="I694" s="29"/>
    </row>
    <row r="695" ht="14.25" customHeight="1">
      <c r="C695" s="29"/>
      <c r="D695" s="29"/>
      <c r="E695" s="29"/>
      <c r="F695" s="29"/>
      <c r="G695" s="29"/>
      <c r="H695" s="29"/>
      <c r="I695" s="29"/>
    </row>
    <row r="696" ht="14.25" customHeight="1">
      <c r="C696" s="29"/>
      <c r="D696" s="29"/>
      <c r="E696" s="29"/>
      <c r="F696" s="29"/>
      <c r="G696" s="29"/>
      <c r="H696" s="29"/>
      <c r="I696" s="29"/>
    </row>
    <row r="697" ht="14.25" customHeight="1">
      <c r="C697" s="29"/>
      <c r="D697" s="29"/>
      <c r="E697" s="29"/>
      <c r="F697" s="29"/>
      <c r="G697" s="29"/>
      <c r="H697" s="29"/>
      <c r="I697" s="29"/>
    </row>
    <row r="698" ht="14.25" customHeight="1">
      <c r="C698" s="29"/>
      <c r="D698" s="29"/>
      <c r="E698" s="29"/>
      <c r="F698" s="29"/>
      <c r="G698" s="29"/>
      <c r="H698" s="29"/>
      <c r="I698" s="29"/>
    </row>
    <row r="699" ht="14.25" customHeight="1">
      <c r="C699" s="29"/>
      <c r="D699" s="29"/>
      <c r="E699" s="29"/>
      <c r="F699" s="29"/>
      <c r="G699" s="29"/>
      <c r="H699" s="29"/>
      <c r="I699" s="29"/>
    </row>
    <row r="700" ht="14.25" customHeight="1">
      <c r="C700" s="29"/>
      <c r="D700" s="29"/>
      <c r="E700" s="29"/>
      <c r="F700" s="29"/>
      <c r="G700" s="29"/>
      <c r="H700" s="29"/>
      <c r="I700" s="29"/>
    </row>
    <row r="701" ht="14.25" customHeight="1">
      <c r="C701" s="29"/>
      <c r="D701" s="29"/>
      <c r="E701" s="29"/>
      <c r="F701" s="29"/>
      <c r="G701" s="29"/>
      <c r="H701" s="29"/>
      <c r="I701" s="29"/>
    </row>
    <row r="702" ht="14.25" customHeight="1">
      <c r="C702" s="29"/>
      <c r="D702" s="29"/>
      <c r="E702" s="29"/>
      <c r="F702" s="29"/>
      <c r="G702" s="29"/>
      <c r="H702" s="29"/>
      <c r="I702" s="29"/>
    </row>
    <row r="703" ht="14.25" customHeight="1">
      <c r="C703" s="29"/>
      <c r="D703" s="29"/>
      <c r="E703" s="29"/>
      <c r="F703" s="29"/>
      <c r="G703" s="29"/>
      <c r="H703" s="29"/>
      <c r="I703" s="29"/>
    </row>
    <row r="704" ht="14.25" customHeight="1">
      <c r="C704" s="29"/>
      <c r="D704" s="29"/>
      <c r="E704" s="29"/>
      <c r="F704" s="29"/>
      <c r="G704" s="29"/>
      <c r="H704" s="29"/>
      <c r="I704" s="29"/>
    </row>
    <row r="705" ht="14.25" customHeight="1">
      <c r="C705" s="29"/>
      <c r="D705" s="29"/>
      <c r="E705" s="29"/>
      <c r="F705" s="29"/>
      <c r="G705" s="29"/>
      <c r="H705" s="29"/>
      <c r="I705" s="29"/>
    </row>
    <row r="706" ht="14.25" customHeight="1">
      <c r="C706" s="29"/>
      <c r="D706" s="29"/>
      <c r="E706" s="29"/>
      <c r="F706" s="29"/>
      <c r="G706" s="29"/>
      <c r="H706" s="29"/>
      <c r="I706" s="29"/>
    </row>
    <row r="707" ht="14.25" customHeight="1">
      <c r="C707" s="29"/>
      <c r="D707" s="29"/>
      <c r="E707" s="29"/>
      <c r="F707" s="29"/>
      <c r="G707" s="29"/>
      <c r="H707" s="29"/>
      <c r="I707" s="29"/>
    </row>
    <row r="708" ht="14.25" customHeight="1">
      <c r="C708" s="29"/>
      <c r="D708" s="29"/>
      <c r="E708" s="29"/>
      <c r="F708" s="29"/>
      <c r="G708" s="29"/>
      <c r="H708" s="29"/>
      <c r="I708" s="29"/>
    </row>
    <row r="709" ht="14.25" customHeight="1">
      <c r="C709" s="29"/>
      <c r="D709" s="29"/>
      <c r="E709" s="29"/>
      <c r="F709" s="29"/>
      <c r="G709" s="29"/>
      <c r="H709" s="29"/>
      <c r="I709" s="29"/>
    </row>
    <row r="710" ht="14.25" customHeight="1">
      <c r="C710" s="29"/>
      <c r="D710" s="29"/>
      <c r="E710" s="29"/>
      <c r="F710" s="29"/>
      <c r="G710" s="29"/>
      <c r="H710" s="29"/>
      <c r="I710" s="29"/>
    </row>
    <row r="711" ht="14.25" customHeight="1">
      <c r="C711" s="29"/>
      <c r="D711" s="29"/>
      <c r="E711" s="29"/>
      <c r="F711" s="29"/>
      <c r="G711" s="29"/>
      <c r="H711" s="29"/>
      <c r="I711" s="29"/>
    </row>
    <row r="712" ht="14.25" customHeight="1">
      <c r="C712" s="29"/>
      <c r="D712" s="29"/>
      <c r="E712" s="29"/>
      <c r="F712" s="29"/>
      <c r="G712" s="29"/>
      <c r="H712" s="29"/>
      <c r="I712" s="29"/>
    </row>
    <row r="713" ht="14.25" customHeight="1">
      <c r="C713" s="29"/>
      <c r="D713" s="29"/>
      <c r="E713" s="29"/>
      <c r="F713" s="29"/>
      <c r="G713" s="29"/>
      <c r="H713" s="29"/>
      <c r="I713" s="29"/>
    </row>
    <row r="714" ht="14.25" customHeight="1">
      <c r="C714" s="29"/>
      <c r="D714" s="29"/>
      <c r="E714" s="29"/>
      <c r="F714" s="29"/>
      <c r="G714" s="29"/>
      <c r="H714" s="29"/>
      <c r="I714" s="29"/>
    </row>
    <row r="715" ht="14.25" customHeight="1">
      <c r="C715" s="29"/>
      <c r="D715" s="29"/>
      <c r="E715" s="29"/>
      <c r="F715" s="29"/>
      <c r="G715" s="29"/>
      <c r="H715" s="29"/>
      <c r="I715" s="29"/>
    </row>
    <row r="716" ht="14.25" customHeight="1">
      <c r="C716" s="29"/>
      <c r="D716" s="29"/>
      <c r="E716" s="29"/>
      <c r="F716" s="29"/>
      <c r="G716" s="29"/>
      <c r="H716" s="29"/>
      <c r="I716" s="29"/>
    </row>
    <row r="717" ht="14.25" customHeight="1">
      <c r="C717" s="29"/>
      <c r="D717" s="29"/>
      <c r="E717" s="29"/>
      <c r="F717" s="29"/>
      <c r="G717" s="29"/>
      <c r="H717" s="29"/>
      <c r="I717" s="29"/>
    </row>
    <row r="718" ht="14.25" customHeight="1">
      <c r="C718" s="29"/>
      <c r="D718" s="29"/>
      <c r="E718" s="29"/>
      <c r="F718" s="29"/>
      <c r="G718" s="29"/>
      <c r="H718" s="29"/>
      <c r="I718" s="29"/>
    </row>
    <row r="719" ht="14.25" customHeight="1">
      <c r="C719" s="29"/>
      <c r="D719" s="29"/>
      <c r="E719" s="29"/>
      <c r="F719" s="29"/>
      <c r="G719" s="29"/>
      <c r="H719" s="29"/>
      <c r="I719" s="29"/>
    </row>
    <row r="720" ht="14.25" customHeight="1">
      <c r="C720" s="29"/>
      <c r="D720" s="29"/>
      <c r="E720" s="29"/>
      <c r="F720" s="29"/>
      <c r="G720" s="29"/>
      <c r="H720" s="29"/>
      <c r="I720" s="29"/>
    </row>
    <row r="721" ht="14.25" customHeight="1">
      <c r="C721" s="29"/>
      <c r="D721" s="29"/>
      <c r="E721" s="29"/>
      <c r="F721" s="29"/>
      <c r="G721" s="29"/>
      <c r="H721" s="29"/>
      <c r="I721" s="29"/>
    </row>
    <row r="722" ht="14.25" customHeight="1">
      <c r="C722" s="29"/>
      <c r="D722" s="29"/>
      <c r="E722" s="29"/>
      <c r="F722" s="29"/>
      <c r="G722" s="29"/>
      <c r="H722" s="29"/>
      <c r="I722" s="29"/>
    </row>
    <row r="723" ht="14.25" customHeight="1">
      <c r="C723" s="29"/>
      <c r="D723" s="29"/>
      <c r="E723" s="29"/>
      <c r="F723" s="29"/>
      <c r="G723" s="29"/>
      <c r="H723" s="29"/>
      <c r="I723" s="29"/>
    </row>
    <row r="724" ht="14.25" customHeight="1">
      <c r="C724" s="29"/>
      <c r="D724" s="29"/>
      <c r="E724" s="29"/>
      <c r="F724" s="29"/>
      <c r="G724" s="29"/>
      <c r="H724" s="29"/>
      <c r="I724" s="29"/>
    </row>
    <row r="725" ht="14.25" customHeight="1">
      <c r="C725" s="29"/>
      <c r="D725" s="29"/>
      <c r="E725" s="29"/>
      <c r="F725" s="29"/>
      <c r="G725" s="29"/>
      <c r="H725" s="29"/>
      <c r="I725" s="29"/>
    </row>
    <row r="726" ht="14.25" customHeight="1">
      <c r="C726" s="29"/>
      <c r="D726" s="29"/>
      <c r="E726" s="29"/>
      <c r="F726" s="29"/>
      <c r="G726" s="29"/>
      <c r="H726" s="29"/>
      <c r="I726" s="29"/>
    </row>
    <row r="727" ht="14.25" customHeight="1">
      <c r="C727" s="29"/>
      <c r="D727" s="29"/>
      <c r="E727" s="29"/>
      <c r="F727" s="29"/>
      <c r="G727" s="29"/>
      <c r="H727" s="29"/>
      <c r="I727" s="29"/>
    </row>
    <row r="728" ht="14.25" customHeight="1">
      <c r="C728" s="29"/>
      <c r="D728" s="29"/>
      <c r="E728" s="29"/>
      <c r="F728" s="29"/>
      <c r="G728" s="29"/>
      <c r="H728" s="29"/>
      <c r="I728" s="29"/>
    </row>
    <row r="729" ht="14.25" customHeight="1">
      <c r="C729" s="29"/>
      <c r="D729" s="29"/>
      <c r="E729" s="29"/>
      <c r="F729" s="29"/>
      <c r="G729" s="29"/>
      <c r="H729" s="29"/>
      <c r="I729" s="29"/>
    </row>
    <row r="730" ht="14.25" customHeight="1">
      <c r="C730" s="29"/>
      <c r="D730" s="29"/>
      <c r="E730" s="29"/>
      <c r="F730" s="29"/>
      <c r="G730" s="29"/>
      <c r="H730" s="29"/>
      <c r="I730" s="29"/>
    </row>
    <row r="731" ht="14.25" customHeight="1">
      <c r="C731" s="29"/>
      <c r="D731" s="29"/>
      <c r="E731" s="29"/>
      <c r="F731" s="29"/>
      <c r="G731" s="29"/>
      <c r="H731" s="29"/>
      <c r="I731" s="29"/>
    </row>
    <row r="732" ht="14.25" customHeight="1">
      <c r="C732" s="29"/>
      <c r="D732" s="29"/>
      <c r="E732" s="29"/>
      <c r="F732" s="29"/>
      <c r="G732" s="29"/>
      <c r="H732" s="29"/>
      <c r="I732" s="29"/>
    </row>
    <row r="733" ht="14.25" customHeight="1">
      <c r="C733" s="29"/>
      <c r="D733" s="29"/>
      <c r="E733" s="29"/>
      <c r="F733" s="29"/>
      <c r="G733" s="29"/>
      <c r="H733" s="29"/>
      <c r="I733" s="29"/>
    </row>
    <row r="734" ht="14.25" customHeight="1">
      <c r="C734" s="29"/>
      <c r="D734" s="29"/>
      <c r="E734" s="29"/>
      <c r="F734" s="29"/>
      <c r="G734" s="29"/>
      <c r="H734" s="29"/>
      <c r="I734" s="29"/>
    </row>
    <row r="735" ht="14.25" customHeight="1">
      <c r="C735" s="29"/>
      <c r="D735" s="29"/>
      <c r="E735" s="29"/>
      <c r="F735" s="29"/>
      <c r="G735" s="29"/>
      <c r="H735" s="29"/>
      <c r="I735" s="29"/>
    </row>
    <row r="736" ht="14.25" customHeight="1">
      <c r="C736" s="29"/>
      <c r="D736" s="29"/>
      <c r="E736" s="29"/>
      <c r="F736" s="29"/>
      <c r="G736" s="29"/>
      <c r="H736" s="29"/>
      <c r="I736" s="29"/>
    </row>
    <row r="737" ht="14.25" customHeight="1">
      <c r="C737" s="29"/>
      <c r="D737" s="29"/>
      <c r="E737" s="29"/>
      <c r="F737" s="29"/>
      <c r="G737" s="29"/>
      <c r="H737" s="29"/>
      <c r="I737" s="29"/>
    </row>
    <row r="738" ht="14.25" customHeight="1">
      <c r="C738" s="29"/>
      <c r="D738" s="29"/>
      <c r="E738" s="29"/>
      <c r="F738" s="29"/>
      <c r="G738" s="29"/>
      <c r="H738" s="29"/>
      <c r="I738" s="29"/>
    </row>
    <row r="739" ht="14.25" customHeight="1">
      <c r="C739" s="29"/>
      <c r="D739" s="29"/>
      <c r="E739" s="29"/>
      <c r="F739" s="29"/>
      <c r="G739" s="29"/>
      <c r="H739" s="29"/>
      <c r="I739" s="29"/>
    </row>
    <row r="740" ht="14.25" customHeight="1">
      <c r="C740" s="29"/>
      <c r="D740" s="29"/>
      <c r="E740" s="29"/>
      <c r="F740" s="29"/>
      <c r="G740" s="29"/>
      <c r="H740" s="29"/>
      <c r="I740" s="29"/>
    </row>
    <row r="741" ht="14.25" customHeight="1">
      <c r="C741" s="29"/>
      <c r="D741" s="29"/>
      <c r="E741" s="29"/>
      <c r="F741" s="29"/>
      <c r="G741" s="29"/>
      <c r="H741" s="29"/>
      <c r="I741" s="29"/>
    </row>
    <row r="742" ht="14.25" customHeight="1">
      <c r="C742" s="29"/>
      <c r="D742" s="29"/>
      <c r="E742" s="29"/>
      <c r="F742" s="29"/>
      <c r="G742" s="29"/>
      <c r="H742" s="29"/>
      <c r="I742" s="29"/>
    </row>
    <row r="743" ht="14.25" customHeight="1">
      <c r="C743" s="29"/>
      <c r="D743" s="29"/>
      <c r="E743" s="29"/>
      <c r="F743" s="29"/>
      <c r="G743" s="29"/>
      <c r="H743" s="29"/>
      <c r="I743" s="29"/>
    </row>
    <row r="744" ht="14.25" customHeight="1">
      <c r="C744" s="29"/>
      <c r="D744" s="29"/>
      <c r="E744" s="29"/>
      <c r="F744" s="29"/>
      <c r="G744" s="29"/>
      <c r="H744" s="29"/>
      <c r="I744" s="29"/>
    </row>
    <row r="745" ht="14.25" customHeight="1">
      <c r="C745" s="29"/>
      <c r="D745" s="29"/>
      <c r="E745" s="29"/>
      <c r="F745" s="29"/>
      <c r="G745" s="29"/>
      <c r="H745" s="29"/>
      <c r="I745" s="29"/>
    </row>
    <row r="746" ht="14.25" customHeight="1">
      <c r="C746" s="29"/>
      <c r="D746" s="29"/>
      <c r="E746" s="29"/>
      <c r="F746" s="29"/>
      <c r="G746" s="29"/>
      <c r="H746" s="29"/>
      <c r="I746" s="29"/>
    </row>
    <row r="747" ht="14.25" customHeight="1">
      <c r="C747" s="29"/>
      <c r="D747" s="29"/>
      <c r="E747" s="29"/>
      <c r="F747" s="29"/>
      <c r="G747" s="29"/>
      <c r="H747" s="29"/>
      <c r="I747" s="29"/>
    </row>
    <row r="748" ht="14.25" customHeight="1">
      <c r="C748" s="29"/>
      <c r="D748" s="29"/>
      <c r="E748" s="29"/>
      <c r="F748" s="29"/>
      <c r="G748" s="29"/>
      <c r="H748" s="29"/>
      <c r="I748" s="29"/>
    </row>
    <row r="749" ht="14.25" customHeight="1">
      <c r="C749" s="29"/>
      <c r="D749" s="29"/>
      <c r="E749" s="29"/>
      <c r="F749" s="29"/>
      <c r="G749" s="29"/>
      <c r="H749" s="29"/>
      <c r="I749" s="29"/>
    </row>
    <row r="750" ht="14.25" customHeight="1">
      <c r="C750" s="29"/>
      <c r="D750" s="29"/>
      <c r="E750" s="29"/>
      <c r="F750" s="29"/>
      <c r="G750" s="29"/>
      <c r="H750" s="29"/>
      <c r="I750" s="29"/>
    </row>
    <row r="751" ht="14.25" customHeight="1">
      <c r="C751" s="29"/>
      <c r="D751" s="29"/>
      <c r="E751" s="29"/>
      <c r="F751" s="29"/>
      <c r="G751" s="29"/>
      <c r="H751" s="29"/>
      <c r="I751" s="29"/>
    </row>
    <row r="752" ht="14.25" customHeight="1">
      <c r="C752" s="29"/>
      <c r="D752" s="29"/>
      <c r="E752" s="29"/>
      <c r="F752" s="29"/>
      <c r="G752" s="29"/>
      <c r="H752" s="29"/>
      <c r="I752" s="29"/>
    </row>
    <row r="753" ht="14.25" customHeight="1">
      <c r="C753" s="29"/>
      <c r="D753" s="29"/>
      <c r="E753" s="29"/>
      <c r="F753" s="29"/>
      <c r="G753" s="29"/>
      <c r="H753" s="29"/>
      <c r="I753" s="29"/>
    </row>
    <row r="754" ht="14.25" customHeight="1">
      <c r="C754" s="29"/>
      <c r="D754" s="29"/>
      <c r="E754" s="29"/>
      <c r="F754" s="29"/>
      <c r="G754" s="29"/>
      <c r="H754" s="29"/>
      <c r="I754" s="29"/>
    </row>
    <row r="755" ht="14.25" customHeight="1">
      <c r="C755" s="29"/>
      <c r="D755" s="29"/>
      <c r="E755" s="29"/>
      <c r="F755" s="29"/>
      <c r="G755" s="29"/>
      <c r="H755" s="29"/>
      <c r="I755" s="29"/>
    </row>
    <row r="756" ht="14.25" customHeight="1">
      <c r="C756" s="29"/>
      <c r="D756" s="29"/>
      <c r="E756" s="29"/>
      <c r="F756" s="29"/>
      <c r="G756" s="29"/>
      <c r="H756" s="29"/>
      <c r="I756" s="29"/>
    </row>
    <row r="757" ht="14.25" customHeight="1">
      <c r="C757" s="29"/>
      <c r="D757" s="29"/>
      <c r="E757" s="29"/>
      <c r="F757" s="29"/>
      <c r="G757" s="29"/>
      <c r="H757" s="29"/>
      <c r="I757" s="29"/>
    </row>
    <row r="758" ht="14.25" customHeight="1">
      <c r="C758" s="29"/>
      <c r="D758" s="29"/>
      <c r="E758" s="29"/>
      <c r="F758" s="29"/>
      <c r="G758" s="29"/>
      <c r="H758" s="29"/>
      <c r="I758" s="29"/>
    </row>
    <row r="759" ht="14.25" customHeight="1">
      <c r="C759" s="29"/>
      <c r="D759" s="29"/>
      <c r="E759" s="29"/>
      <c r="F759" s="29"/>
      <c r="G759" s="29"/>
      <c r="H759" s="29"/>
      <c r="I759" s="29"/>
    </row>
    <row r="760" ht="14.25" customHeight="1">
      <c r="C760" s="29"/>
      <c r="D760" s="29"/>
      <c r="E760" s="29"/>
      <c r="F760" s="29"/>
      <c r="G760" s="29"/>
      <c r="H760" s="29"/>
      <c r="I760" s="29"/>
    </row>
    <row r="761" ht="14.25" customHeight="1">
      <c r="C761" s="29"/>
      <c r="D761" s="29"/>
      <c r="E761" s="29"/>
      <c r="F761" s="29"/>
      <c r="G761" s="29"/>
      <c r="H761" s="29"/>
      <c r="I761" s="29"/>
    </row>
    <row r="762" ht="14.25" customHeight="1">
      <c r="C762" s="29"/>
      <c r="D762" s="29"/>
      <c r="E762" s="29"/>
      <c r="F762" s="29"/>
      <c r="G762" s="29"/>
      <c r="H762" s="29"/>
      <c r="I762" s="29"/>
    </row>
    <row r="763" ht="14.25" customHeight="1">
      <c r="C763" s="29"/>
      <c r="D763" s="29"/>
      <c r="E763" s="29"/>
      <c r="F763" s="29"/>
      <c r="G763" s="29"/>
      <c r="H763" s="29"/>
      <c r="I763" s="29"/>
    </row>
    <row r="764" ht="14.25" customHeight="1">
      <c r="C764" s="29"/>
      <c r="D764" s="29"/>
      <c r="E764" s="29"/>
      <c r="F764" s="29"/>
      <c r="G764" s="29"/>
      <c r="H764" s="29"/>
      <c r="I764" s="29"/>
    </row>
    <row r="765" ht="14.25" customHeight="1">
      <c r="C765" s="29"/>
      <c r="D765" s="29"/>
      <c r="E765" s="29"/>
      <c r="F765" s="29"/>
      <c r="G765" s="29"/>
      <c r="H765" s="29"/>
      <c r="I765" s="29"/>
    </row>
    <row r="766" ht="14.25" customHeight="1">
      <c r="C766" s="29"/>
      <c r="D766" s="29"/>
      <c r="E766" s="29"/>
      <c r="F766" s="29"/>
      <c r="G766" s="29"/>
      <c r="H766" s="29"/>
      <c r="I766" s="29"/>
    </row>
    <row r="767" ht="14.25" customHeight="1">
      <c r="C767" s="29"/>
      <c r="D767" s="29"/>
      <c r="E767" s="29"/>
      <c r="F767" s="29"/>
      <c r="G767" s="29"/>
      <c r="H767" s="29"/>
      <c r="I767" s="29"/>
    </row>
    <row r="768" ht="14.25" customHeight="1">
      <c r="C768" s="29"/>
      <c r="D768" s="29"/>
      <c r="E768" s="29"/>
      <c r="F768" s="29"/>
      <c r="G768" s="29"/>
      <c r="H768" s="29"/>
      <c r="I768" s="29"/>
    </row>
    <row r="769" ht="14.25" customHeight="1">
      <c r="C769" s="29"/>
      <c r="D769" s="29"/>
      <c r="E769" s="29"/>
      <c r="F769" s="29"/>
      <c r="G769" s="29"/>
      <c r="H769" s="29"/>
      <c r="I769" s="29"/>
    </row>
    <row r="770" ht="14.25" customHeight="1">
      <c r="C770" s="29"/>
      <c r="D770" s="29"/>
      <c r="E770" s="29"/>
      <c r="F770" s="29"/>
      <c r="G770" s="29"/>
      <c r="H770" s="29"/>
      <c r="I770" s="29"/>
    </row>
    <row r="771" ht="14.25" customHeight="1">
      <c r="C771" s="29"/>
      <c r="D771" s="29"/>
      <c r="E771" s="29"/>
      <c r="F771" s="29"/>
      <c r="G771" s="29"/>
      <c r="H771" s="29"/>
      <c r="I771" s="29"/>
    </row>
    <row r="772" ht="14.25" customHeight="1">
      <c r="C772" s="29"/>
      <c r="D772" s="29"/>
      <c r="E772" s="29"/>
      <c r="F772" s="29"/>
      <c r="G772" s="29"/>
      <c r="H772" s="29"/>
      <c r="I772" s="29"/>
    </row>
    <row r="773" ht="14.25" customHeight="1">
      <c r="C773" s="29"/>
      <c r="D773" s="29"/>
      <c r="E773" s="29"/>
      <c r="F773" s="29"/>
      <c r="G773" s="29"/>
      <c r="H773" s="29"/>
      <c r="I773" s="29"/>
    </row>
    <row r="774" ht="14.25" customHeight="1">
      <c r="C774" s="29"/>
      <c r="D774" s="29"/>
      <c r="E774" s="29"/>
      <c r="F774" s="29"/>
      <c r="G774" s="29"/>
      <c r="H774" s="29"/>
      <c r="I774" s="29"/>
    </row>
    <row r="775" ht="14.25" customHeight="1">
      <c r="C775" s="29"/>
      <c r="D775" s="29"/>
      <c r="E775" s="29"/>
      <c r="F775" s="29"/>
      <c r="G775" s="29"/>
      <c r="H775" s="29"/>
      <c r="I775" s="29"/>
    </row>
    <row r="776" ht="14.25" customHeight="1">
      <c r="C776" s="29"/>
      <c r="D776" s="29"/>
      <c r="E776" s="29"/>
      <c r="F776" s="29"/>
      <c r="G776" s="29"/>
      <c r="H776" s="29"/>
      <c r="I776" s="29"/>
    </row>
    <row r="777" ht="14.25" customHeight="1">
      <c r="C777" s="29"/>
      <c r="D777" s="29"/>
      <c r="E777" s="29"/>
      <c r="F777" s="29"/>
      <c r="G777" s="29"/>
      <c r="H777" s="29"/>
      <c r="I777" s="29"/>
    </row>
    <row r="778" ht="14.25" customHeight="1">
      <c r="C778" s="29"/>
      <c r="D778" s="29"/>
      <c r="E778" s="29"/>
      <c r="F778" s="29"/>
      <c r="G778" s="29"/>
      <c r="H778" s="29"/>
      <c r="I778" s="29"/>
    </row>
    <row r="779" ht="14.25" customHeight="1">
      <c r="C779" s="29"/>
      <c r="D779" s="29"/>
      <c r="E779" s="29"/>
      <c r="F779" s="29"/>
      <c r="G779" s="29"/>
      <c r="H779" s="29"/>
      <c r="I779" s="29"/>
    </row>
    <row r="780" ht="14.25" customHeight="1">
      <c r="C780" s="29"/>
      <c r="D780" s="29"/>
      <c r="E780" s="29"/>
      <c r="F780" s="29"/>
      <c r="G780" s="29"/>
      <c r="H780" s="29"/>
      <c r="I780" s="29"/>
    </row>
    <row r="781" ht="14.25" customHeight="1">
      <c r="C781" s="29"/>
      <c r="D781" s="29"/>
      <c r="E781" s="29"/>
      <c r="F781" s="29"/>
      <c r="G781" s="29"/>
      <c r="H781" s="29"/>
      <c r="I781" s="29"/>
    </row>
    <row r="782" ht="14.25" customHeight="1">
      <c r="C782" s="29"/>
      <c r="D782" s="29"/>
      <c r="E782" s="29"/>
      <c r="F782" s="29"/>
      <c r="G782" s="29"/>
      <c r="H782" s="29"/>
      <c r="I782" s="29"/>
    </row>
    <row r="783" ht="14.25" customHeight="1">
      <c r="C783" s="29"/>
      <c r="D783" s="29"/>
      <c r="E783" s="29"/>
      <c r="F783" s="29"/>
      <c r="G783" s="29"/>
      <c r="H783" s="29"/>
      <c r="I783" s="29"/>
    </row>
    <row r="784" ht="14.25" customHeight="1">
      <c r="C784" s="29"/>
      <c r="D784" s="29"/>
      <c r="E784" s="29"/>
      <c r="F784" s="29"/>
      <c r="G784" s="29"/>
      <c r="H784" s="29"/>
      <c r="I784" s="29"/>
    </row>
    <row r="785" ht="14.25" customHeight="1">
      <c r="C785" s="29"/>
      <c r="D785" s="29"/>
      <c r="E785" s="29"/>
      <c r="F785" s="29"/>
      <c r="G785" s="29"/>
      <c r="H785" s="29"/>
      <c r="I785" s="29"/>
    </row>
    <row r="786" ht="14.25" customHeight="1">
      <c r="C786" s="29"/>
      <c r="D786" s="29"/>
      <c r="E786" s="29"/>
      <c r="F786" s="29"/>
      <c r="G786" s="29"/>
      <c r="H786" s="29"/>
      <c r="I786" s="29"/>
    </row>
    <row r="787" ht="14.25" customHeight="1">
      <c r="C787" s="29"/>
      <c r="D787" s="29"/>
      <c r="E787" s="29"/>
      <c r="F787" s="29"/>
      <c r="G787" s="29"/>
      <c r="H787" s="29"/>
      <c r="I787" s="29"/>
    </row>
    <row r="788" ht="14.25" customHeight="1">
      <c r="C788" s="29"/>
      <c r="D788" s="29"/>
      <c r="E788" s="29"/>
      <c r="F788" s="29"/>
      <c r="G788" s="29"/>
      <c r="H788" s="29"/>
      <c r="I788" s="29"/>
    </row>
    <row r="789" ht="14.25" customHeight="1">
      <c r="C789" s="29"/>
      <c r="D789" s="29"/>
      <c r="E789" s="29"/>
      <c r="F789" s="29"/>
      <c r="G789" s="29"/>
      <c r="H789" s="29"/>
      <c r="I789" s="29"/>
    </row>
    <row r="790" ht="14.25" customHeight="1">
      <c r="C790" s="29"/>
      <c r="D790" s="29"/>
      <c r="E790" s="29"/>
      <c r="F790" s="29"/>
      <c r="G790" s="29"/>
      <c r="H790" s="29"/>
      <c r="I790" s="29"/>
    </row>
    <row r="791" ht="14.25" customHeight="1">
      <c r="C791" s="29"/>
      <c r="D791" s="29"/>
      <c r="E791" s="29"/>
      <c r="F791" s="29"/>
      <c r="G791" s="29"/>
      <c r="H791" s="29"/>
      <c r="I791" s="29"/>
    </row>
    <row r="792" ht="14.25" customHeight="1">
      <c r="C792" s="29"/>
      <c r="D792" s="29"/>
      <c r="E792" s="29"/>
      <c r="F792" s="29"/>
      <c r="G792" s="29"/>
      <c r="H792" s="29"/>
      <c r="I792" s="29"/>
    </row>
    <row r="793" ht="14.25" customHeight="1">
      <c r="C793" s="29"/>
      <c r="D793" s="29"/>
      <c r="E793" s="29"/>
      <c r="F793" s="29"/>
      <c r="G793" s="29"/>
      <c r="H793" s="29"/>
      <c r="I793" s="29"/>
    </row>
    <row r="794" ht="14.25" customHeight="1">
      <c r="C794" s="29"/>
      <c r="D794" s="29"/>
      <c r="E794" s="29"/>
      <c r="F794" s="29"/>
      <c r="G794" s="29"/>
      <c r="H794" s="29"/>
      <c r="I794" s="29"/>
    </row>
    <row r="795" ht="14.25" customHeight="1">
      <c r="C795" s="29"/>
      <c r="D795" s="29"/>
      <c r="E795" s="29"/>
      <c r="F795" s="29"/>
      <c r="G795" s="29"/>
      <c r="H795" s="29"/>
      <c r="I795" s="29"/>
    </row>
    <row r="796" ht="14.25" customHeight="1">
      <c r="C796" s="29"/>
      <c r="D796" s="29"/>
      <c r="E796" s="29"/>
      <c r="F796" s="29"/>
      <c r="G796" s="29"/>
      <c r="H796" s="29"/>
      <c r="I796" s="29"/>
    </row>
    <row r="797" ht="14.25" customHeight="1">
      <c r="C797" s="29"/>
      <c r="D797" s="29"/>
      <c r="E797" s="29"/>
      <c r="F797" s="29"/>
      <c r="G797" s="29"/>
      <c r="H797" s="29"/>
      <c r="I797" s="29"/>
    </row>
    <row r="798" ht="14.25" customHeight="1">
      <c r="C798" s="29"/>
      <c r="D798" s="29"/>
      <c r="E798" s="29"/>
      <c r="F798" s="29"/>
      <c r="G798" s="29"/>
      <c r="H798" s="29"/>
      <c r="I798" s="29"/>
    </row>
    <row r="799" ht="14.25" customHeight="1">
      <c r="C799" s="29"/>
      <c r="D799" s="29"/>
      <c r="E799" s="29"/>
      <c r="F799" s="29"/>
      <c r="G799" s="29"/>
      <c r="H799" s="29"/>
      <c r="I799" s="29"/>
    </row>
    <row r="800" ht="14.25" customHeight="1">
      <c r="C800" s="29"/>
      <c r="D800" s="29"/>
      <c r="E800" s="29"/>
      <c r="F800" s="29"/>
      <c r="G800" s="29"/>
      <c r="H800" s="29"/>
      <c r="I800" s="29"/>
    </row>
    <row r="801" ht="14.25" customHeight="1">
      <c r="C801" s="29"/>
      <c r="D801" s="29"/>
      <c r="E801" s="29"/>
      <c r="F801" s="29"/>
      <c r="G801" s="29"/>
      <c r="H801" s="29"/>
      <c r="I801" s="29"/>
    </row>
    <row r="802" ht="14.25" customHeight="1">
      <c r="C802" s="29"/>
      <c r="D802" s="29"/>
      <c r="E802" s="29"/>
      <c r="F802" s="29"/>
      <c r="G802" s="29"/>
      <c r="H802" s="29"/>
      <c r="I802" s="29"/>
    </row>
    <row r="803" ht="14.25" customHeight="1">
      <c r="C803" s="29"/>
      <c r="D803" s="29"/>
      <c r="E803" s="29"/>
      <c r="F803" s="29"/>
      <c r="G803" s="29"/>
      <c r="H803" s="29"/>
      <c r="I803" s="29"/>
    </row>
    <row r="804" ht="14.25" customHeight="1">
      <c r="C804" s="29"/>
      <c r="D804" s="29"/>
      <c r="E804" s="29"/>
      <c r="F804" s="29"/>
      <c r="G804" s="29"/>
      <c r="H804" s="29"/>
      <c r="I804" s="29"/>
    </row>
    <row r="805" ht="14.25" customHeight="1">
      <c r="C805" s="29"/>
      <c r="D805" s="29"/>
      <c r="E805" s="29"/>
      <c r="F805" s="29"/>
      <c r="G805" s="29"/>
      <c r="H805" s="29"/>
      <c r="I805" s="29"/>
    </row>
    <row r="806" ht="14.25" customHeight="1">
      <c r="C806" s="29"/>
      <c r="D806" s="29"/>
      <c r="E806" s="29"/>
      <c r="F806" s="29"/>
      <c r="G806" s="29"/>
      <c r="H806" s="29"/>
      <c r="I806" s="29"/>
    </row>
    <row r="807" ht="14.25" customHeight="1">
      <c r="C807" s="29"/>
      <c r="D807" s="29"/>
      <c r="E807" s="29"/>
      <c r="F807" s="29"/>
      <c r="G807" s="29"/>
      <c r="H807" s="29"/>
      <c r="I807" s="29"/>
    </row>
    <row r="808" ht="14.25" customHeight="1">
      <c r="C808" s="29"/>
      <c r="D808" s="29"/>
      <c r="E808" s="29"/>
      <c r="F808" s="29"/>
      <c r="G808" s="29"/>
      <c r="H808" s="29"/>
      <c r="I808" s="29"/>
    </row>
    <row r="809" ht="14.25" customHeight="1">
      <c r="C809" s="29"/>
      <c r="D809" s="29"/>
      <c r="E809" s="29"/>
      <c r="F809" s="29"/>
      <c r="G809" s="29"/>
      <c r="H809" s="29"/>
      <c r="I809" s="29"/>
    </row>
    <row r="810" ht="14.25" customHeight="1">
      <c r="C810" s="29"/>
      <c r="D810" s="29"/>
      <c r="E810" s="29"/>
      <c r="F810" s="29"/>
      <c r="G810" s="29"/>
      <c r="H810" s="29"/>
      <c r="I810" s="29"/>
    </row>
    <row r="811" ht="14.25" customHeight="1">
      <c r="C811" s="29"/>
      <c r="D811" s="29"/>
      <c r="E811" s="29"/>
      <c r="F811" s="29"/>
      <c r="G811" s="29"/>
      <c r="H811" s="29"/>
      <c r="I811" s="29"/>
    </row>
    <row r="812" ht="14.25" customHeight="1">
      <c r="C812" s="29"/>
      <c r="D812" s="29"/>
      <c r="E812" s="29"/>
      <c r="F812" s="29"/>
      <c r="G812" s="29"/>
      <c r="H812" s="29"/>
      <c r="I812" s="29"/>
    </row>
    <row r="813" ht="14.25" customHeight="1">
      <c r="C813" s="29"/>
      <c r="D813" s="29"/>
      <c r="E813" s="29"/>
      <c r="F813" s="29"/>
      <c r="G813" s="29"/>
      <c r="H813" s="29"/>
      <c r="I813" s="29"/>
    </row>
    <row r="814" ht="14.25" customHeight="1">
      <c r="C814" s="29"/>
      <c r="D814" s="29"/>
      <c r="E814" s="29"/>
      <c r="F814" s="29"/>
      <c r="G814" s="29"/>
      <c r="H814" s="29"/>
      <c r="I814" s="29"/>
    </row>
    <row r="815" ht="14.25" customHeight="1">
      <c r="C815" s="29"/>
      <c r="D815" s="29"/>
      <c r="E815" s="29"/>
      <c r="F815" s="29"/>
      <c r="G815" s="29"/>
      <c r="H815" s="29"/>
      <c r="I815" s="29"/>
    </row>
    <row r="816" ht="14.25" customHeight="1">
      <c r="C816" s="29"/>
      <c r="D816" s="29"/>
      <c r="E816" s="29"/>
      <c r="F816" s="29"/>
      <c r="G816" s="29"/>
      <c r="H816" s="29"/>
      <c r="I816" s="29"/>
    </row>
    <row r="817" ht="14.25" customHeight="1">
      <c r="C817" s="29"/>
      <c r="D817" s="29"/>
      <c r="E817" s="29"/>
      <c r="F817" s="29"/>
      <c r="G817" s="29"/>
      <c r="H817" s="29"/>
      <c r="I817" s="29"/>
    </row>
    <row r="818" ht="14.25" customHeight="1">
      <c r="C818" s="29"/>
      <c r="D818" s="29"/>
      <c r="E818" s="29"/>
      <c r="F818" s="29"/>
      <c r="G818" s="29"/>
      <c r="H818" s="29"/>
      <c r="I818" s="29"/>
    </row>
    <row r="819" ht="14.25" customHeight="1">
      <c r="C819" s="29"/>
      <c r="D819" s="29"/>
      <c r="E819" s="29"/>
      <c r="F819" s="29"/>
      <c r="G819" s="29"/>
      <c r="H819" s="29"/>
      <c r="I819" s="29"/>
    </row>
    <row r="820" ht="14.25" customHeight="1">
      <c r="C820" s="29"/>
      <c r="D820" s="29"/>
      <c r="E820" s="29"/>
      <c r="F820" s="29"/>
      <c r="G820" s="29"/>
      <c r="H820" s="29"/>
      <c r="I820" s="29"/>
    </row>
    <row r="821" ht="14.25" customHeight="1">
      <c r="C821" s="29"/>
      <c r="D821" s="29"/>
      <c r="E821" s="29"/>
      <c r="F821" s="29"/>
      <c r="G821" s="29"/>
      <c r="H821" s="29"/>
      <c r="I821" s="29"/>
    </row>
    <row r="822" ht="14.25" customHeight="1">
      <c r="C822" s="29"/>
      <c r="D822" s="29"/>
      <c r="E822" s="29"/>
      <c r="F822" s="29"/>
      <c r="G822" s="29"/>
      <c r="H822" s="29"/>
      <c r="I822" s="29"/>
    </row>
    <row r="823" ht="14.25" customHeight="1">
      <c r="C823" s="29"/>
      <c r="D823" s="29"/>
      <c r="E823" s="29"/>
      <c r="F823" s="29"/>
      <c r="G823" s="29"/>
      <c r="H823" s="29"/>
      <c r="I823" s="29"/>
    </row>
    <row r="824" ht="14.25" customHeight="1">
      <c r="C824" s="29"/>
      <c r="D824" s="29"/>
      <c r="E824" s="29"/>
      <c r="F824" s="29"/>
      <c r="G824" s="29"/>
      <c r="H824" s="29"/>
      <c r="I824" s="29"/>
    </row>
    <row r="825" ht="14.25" customHeight="1">
      <c r="C825" s="29"/>
      <c r="D825" s="29"/>
      <c r="E825" s="29"/>
      <c r="F825" s="29"/>
      <c r="G825" s="29"/>
      <c r="H825" s="29"/>
      <c r="I825" s="29"/>
    </row>
    <row r="826" ht="14.25" customHeight="1">
      <c r="C826" s="29"/>
      <c r="D826" s="29"/>
      <c r="E826" s="29"/>
      <c r="F826" s="29"/>
      <c r="G826" s="29"/>
      <c r="H826" s="29"/>
      <c r="I826" s="29"/>
    </row>
    <row r="827" ht="14.25" customHeight="1">
      <c r="C827" s="29"/>
      <c r="D827" s="29"/>
      <c r="E827" s="29"/>
      <c r="F827" s="29"/>
      <c r="G827" s="29"/>
      <c r="H827" s="29"/>
      <c r="I827" s="29"/>
    </row>
    <row r="828" ht="14.25" customHeight="1">
      <c r="C828" s="29"/>
      <c r="D828" s="29"/>
      <c r="E828" s="29"/>
      <c r="F828" s="29"/>
      <c r="G828" s="29"/>
      <c r="H828" s="29"/>
      <c r="I828" s="29"/>
    </row>
    <row r="829" ht="14.25" customHeight="1">
      <c r="C829" s="29"/>
      <c r="D829" s="29"/>
      <c r="E829" s="29"/>
      <c r="F829" s="29"/>
      <c r="G829" s="29"/>
      <c r="H829" s="29"/>
      <c r="I829" s="29"/>
    </row>
    <row r="830" ht="14.25" customHeight="1">
      <c r="C830" s="29"/>
      <c r="D830" s="29"/>
      <c r="E830" s="29"/>
      <c r="F830" s="29"/>
      <c r="G830" s="29"/>
      <c r="H830" s="29"/>
      <c r="I830" s="29"/>
    </row>
    <row r="831" ht="14.25" customHeight="1">
      <c r="C831" s="29"/>
      <c r="D831" s="29"/>
      <c r="E831" s="29"/>
      <c r="F831" s="29"/>
      <c r="G831" s="29"/>
      <c r="H831" s="29"/>
      <c r="I831" s="29"/>
    </row>
    <row r="832" ht="14.25" customHeight="1">
      <c r="C832" s="29"/>
      <c r="D832" s="29"/>
      <c r="E832" s="29"/>
      <c r="F832" s="29"/>
      <c r="G832" s="29"/>
      <c r="H832" s="29"/>
      <c r="I832" s="29"/>
    </row>
    <row r="833" ht="14.25" customHeight="1">
      <c r="C833" s="29"/>
      <c r="D833" s="29"/>
      <c r="E833" s="29"/>
      <c r="F833" s="29"/>
      <c r="G833" s="29"/>
      <c r="H833" s="29"/>
      <c r="I833" s="29"/>
    </row>
    <row r="834" ht="14.25" customHeight="1">
      <c r="C834" s="29"/>
      <c r="D834" s="29"/>
      <c r="E834" s="29"/>
      <c r="F834" s="29"/>
      <c r="G834" s="29"/>
      <c r="H834" s="29"/>
      <c r="I834" s="29"/>
    </row>
    <row r="835" ht="14.25" customHeight="1">
      <c r="C835" s="29"/>
      <c r="D835" s="29"/>
      <c r="E835" s="29"/>
      <c r="F835" s="29"/>
      <c r="G835" s="29"/>
      <c r="H835" s="29"/>
      <c r="I835" s="29"/>
    </row>
    <row r="836" ht="14.25" customHeight="1">
      <c r="C836" s="29"/>
      <c r="D836" s="29"/>
      <c r="E836" s="29"/>
      <c r="F836" s="29"/>
      <c r="G836" s="29"/>
      <c r="H836" s="29"/>
      <c r="I836" s="29"/>
    </row>
    <row r="837" ht="14.25" customHeight="1">
      <c r="C837" s="29"/>
      <c r="D837" s="29"/>
      <c r="E837" s="29"/>
      <c r="F837" s="29"/>
      <c r="G837" s="29"/>
      <c r="H837" s="29"/>
      <c r="I837" s="29"/>
    </row>
    <row r="838" ht="14.25" customHeight="1">
      <c r="C838" s="29"/>
      <c r="D838" s="29"/>
      <c r="E838" s="29"/>
      <c r="F838" s="29"/>
      <c r="G838" s="29"/>
      <c r="H838" s="29"/>
      <c r="I838" s="29"/>
    </row>
    <row r="839" ht="14.25" customHeight="1">
      <c r="C839" s="29"/>
      <c r="D839" s="29"/>
      <c r="E839" s="29"/>
      <c r="F839" s="29"/>
      <c r="G839" s="29"/>
      <c r="H839" s="29"/>
      <c r="I839" s="29"/>
    </row>
    <row r="840" ht="14.25" customHeight="1">
      <c r="C840" s="29"/>
      <c r="D840" s="29"/>
      <c r="E840" s="29"/>
      <c r="F840" s="29"/>
      <c r="G840" s="29"/>
      <c r="H840" s="29"/>
      <c r="I840" s="29"/>
    </row>
    <row r="841" ht="14.25" customHeight="1">
      <c r="C841" s="29"/>
      <c r="D841" s="29"/>
      <c r="E841" s="29"/>
      <c r="F841" s="29"/>
      <c r="G841" s="29"/>
      <c r="H841" s="29"/>
      <c r="I841" s="29"/>
    </row>
    <row r="842" ht="14.25" customHeight="1">
      <c r="C842" s="29"/>
      <c r="D842" s="29"/>
      <c r="E842" s="29"/>
      <c r="F842" s="29"/>
      <c r="G842" s="29"/>
      <c r="H842" s="29"/>
      <c r="I842" s="29"/>
    </row>
    <row r="843" ht="14.25" customHeight="1">
      <c r="C843" s="29"/>
      <c r="D843" s="29"/>
      <c r="E843" s="29"/>
      <c r="F843" s="29"/>
      <c r="G843" s="29"/>
      <c r="H843" s="29"/>
      <c r="I843" s="29"/>
    </row>
    <row r="844" ht="14.25" customHeight="1">
      <c r="C844" s="29"/>
      <c r="D844" s="29"/>
      <c r="E844" s="29"/>
      <c r="F844" s="29"/>
      <c r="G844" s="29"/>
      <c r="H844" s="29"/>
      <c r="I844" s="29"/>
    </row>
    <row r="845" ht="14.25" customHeight="1">
      <c r="C845" s="29"/>
      <c r="D845" s="29"/>
      <c r="E845" s="29"/>
      <c r="F845" s="29"/>
      <c r="G845" s="29"/>
      <c r="H845" s="29"/>
      <c r="I845" s="29"/>
    </row>
    <row r="846" ht="14.25" customHeight="1">
      <c r="C846" s="29"/>
      <c r="D846" s="29"/>
      <c r="E846" s="29"/>
      <c r="F846" s="29"/>
      <c r="G846" s="29"/>
      <c r="H846" s="29"/>
      <c r="I846" s="29"/>
    </row>
    <row r="847" ht="14.25" customHeight="1">
      <c r="C847" s="29"/>
      <c r="D847" s="29"/>
      <c r="E847" s="29"/>
      <c r="F847" s="29"/>
      <c r="G847" s="29"/>
      <c r="H847" s="29"/>
      <c r="I847" s="29"/>
    </row>
    <row r="848" ht="14.25" customHeight="1">
      <c r="C848" s="29"/>
      <c r="D848" s="29"/>
      <c r="E848" s="29"/>
      <c r="F848" s="29"/>
      <c r="G848" s="29"/>
      <c r="H848" s="29"/>
      <c r="I848" s="29"/>
    </row>
    <row r="849" ht="14.25" customHeight="1">
      <c r="C849" s="29"/>
      <c r="D849" s="29"/>
      <c r="E849" s="29"/>
      <c r="F849" s="29"/>
      <c r="G849" s="29"/>
      <c r="H849" s="29"/>
      <c r="I849" s="29"/>
    </row>
    <row r="850" ht="14.25" customHeight="1">
      <c r="C850" s="29"/>
      <c r="D850" s="29"/>
      <c r="E850" s="29"/>
      <c r="F850" s="29"/>
      <c r="G850" s="29"/>
      <c r="H850" s="29"/>
      <c r="I850" s="29"/>
    </row>
    <row r="851" ht="14.25" customHeight="1">
      <c r="C851" s="29"/>
      <c r="D851" s="29"/>
      <c r="E851" s="29"/>
      <c r="F851" s="29"/>
      <c r="G851" s="29"/>
      <c r="H851" s="29"/>
      <c r="I851" s="29"/>
    </row>
    <row r="852" ht="14.25" customHeight="1">
      <c r="C852" s="29"/>
      <c r="D852" s="29"/>
      <c r="E852" s="29"/>
      <c r="F852" s="29"/>
      <c r="G852" s="29"/>
      <c r="H852" s="29"/>
      <c r="I852" s="29"/>
    </row>
    <row r="853" ht="14.25" customHeight="1">
      <c r="C853" s="29"/>
      <c r="D853" s="29"/>
      <c r="E853" s="29"/>
      <c r="F853" s="29"/>
      <c r="G853" s="29"/>
      <c r="H853" s="29"/>
      <c r="I853" s="29"/>
    </row>
    <row r="854" ht="14.25" customHeight="1">
      <c r="C854" s="29"/>
      <c r="D854" s="29"/>
      <c r="E854" s="29"/>
      <c r="F854" s="29"/>
      <c r="G854" s="29"/>
      <c r="H854" s="29"/>
      <c r="I854" s="29"/>
    </row>
    <row r="855" ht="14.25" customHeight="1">
      <c r="C855" s="29"/>
      <c r="D855" s="29"/>
      <c r="E855" s="29"/>
      <c r="F855" s="29"/>
      <c r="G855" s="29"/>
      <c r="H855" s="29"/>
      <c r="I855" s="29"/>
    </row>
    <row r="856" ht="14.25" customHeight="1">
      <c r="C856" s="29"/>
      <c r="D856" s="29"/>
      <c r="E856" s="29"/>
      <c r="F856" s="29"/>
      <c r="G856" s="29"/>
      <c r="H856" s="29"/>
      <c r="I856" s="29"/>
    </row>
    <row r="857" ht="14.25" customHeight="1">
      <c r="C857" s="29"/>
      <c r="D857" s="29"/>
      <c r="E857" s="29"/>
      <c r="F857" s="29"/>
      <c r="G857" s="29"/>
      <c r="H857" s="29"/>
      <c r="I857" s="29"/>
    </row>
    <row r="858" ht="14.25" customHeight="1">
      <c r="C858" s="29"/>
      <c r="D858" s="29"/>
      <c r="E858" s="29"/>
      <c r="F858" s="29"/>
      <c r="G858" s="29"/>
      <c r="H858" s="29"/>
      <c r="I858" s="29"/>
    </row>
    <row r="859" ht="14.25" customHeight="1">
      <c r="C859" s="29"/>
      <c r="D859" s="29"/>
      <c r="E859" s="29"/>
      <c r="F859" s="29"/>
      <c r="G859" s="29"/>
      <c r="H859" s="29"/>
      <c r="I859" s="29"/>
    </row>
    <row r="860" ht="14.25" customHeight="1">
      <c r="C860" s="29"/>
      <c r="D860" s="29"/>
      <c r="E860" s="29"/>
      <c r="F860" s="29"/>
      <c r="G860" s="29"/>
      <c r="H860" s="29"/>
      <c r="I860" s="29"/>
    </row>
    <row r="861" ht="14.25" customHeight="1">
      <c r="C861" s="29"/>
      <c r="D861" s="29"/>
      <c r="E861" s="29"/>
      <c r="F861" s="29"/>
      <c r="G861" s="29"/>
      <c r="H861" s="29"/>
      <c r="I861" s="29"/>
    </row>
    <row r="862" ht="14.25" customHeight="1">
      <c r="C862" s="29"/>
      <c r="D862" s="29"/>
      <c r="E862" s="29"/>
      <c r="F862" s="29"/>
      <c r="G862" s="29"/>
      <c r="H862" s="29"/>
      <c r="I862" s="29"/>
    </row>
    <row r="863" ht="14.25" customHeight="1">
      <c r="C863" s="29"/>
      <c r="D863" s="29"/>
      <c r="E863" s="29"/>
      <c r="F863" s="29"/>
      <c r="G863" s="29"/>
      <c r="H863" s="29"/>
      <c r="I863" s="29"/>
    </row>
    <row r="864" ht="14.25" customHeight="1">
      <c r="C864" s="29"/>
      <c r="D864" s="29"/>
      <c r="E864" s="29"/>
      <c r="F864" s="29"/>
      <c r="G864" s="29"/>
      <c r="H864" s="29"/>
      <c r="I864" s="29"/>
    </row>
    <row r="865" ht="14.25" customHeight="1">
      <c r="C865" s="29"/>
      <c r="D865" s="29"/>
      <c r="E865" s="29"/>
      <c r="F865" s="29"/>
      <c r="G865" s="29"/>
      <c r="H865" s="29"/>
      <c r="I865" s="29"/>
    </row>
    <row r="866" ht="14.25" customHeight="1">
      <c r="C866" s="29"/>
      <c r="D866" s="29"/>
      <c r="E866" s="29"/>
      <c r="F866" s="29"/>
      <c r="G866" s="29"/>
      <c r="H866" s="29"/>
      <c r="I866" s="29"/>
    </row>
    <row r="867" ht="14.25" customHeight="1">
      <c r="C867" s="29"/>
      <c r="D867" s="29"/>
      <c r="E867" s="29"/>
      <c r="F867" s="29"/>
      <c r="G867" s="29"/>
      <c r="H867" s="29"/>
      <c r="I867" s="29"/>
    </row>
    <row r="868" ht="14.25" customHeight="1">
      <c r="C868" s="29"/>
      <c r="D868" s="29"/>
      <c r="E868" s="29"/>
      <c r="F868" s="29"/>
      <c r="G868" s="29"/>
      <c r="H868" s="29"/>
      <c r="I868" s="29"/>
    </row>
    <row r="869" ht="14.25" customHeight="1">
      <c r="C869" s="29"/>
      <c r="D869" s="29"/>
      <c r="E869" s="29"/>
      <c r="F869" s="29"/>
      <c r="G869" s="29"/>
      <c r="H869" s="29"/>
      <c r="I869" s="29"/>
    </row>
    <row r="870" ht="14.25" customHeight="1">
      <c r="C870" s="29"/>
      <c r="D870" s="29"/>
      <c r="E870" s="29"/>
      <c r="F870" s="29"/>
      <c r="G870" s="29"/>
      <c r="H870" s="29"/>
      <c r="I870" s="29"/>
    </row>
    <row r="871" ht="14.25" customHeight="1">
      <c r="C871" s="29"/>
      <c r="D871" s="29"/>
      <c r="E871" s="29"/>
      <c r="F871" s="29"/>
      <c r="G871" s="29"/>
      <c r="H871" s="29"/>
      <c r="I871" s="29"/>
    </row>
    <row r="872" ht="14.25" customHeight="1">
      <c r="C872" s="29"/>
      <c r="D872" s="29"/>
      <c r="E872" s="29"/>
      <c r="F872" s="29"/>
      <c r="G872" s="29"/>
      <c r="H872" s="29"/>
      <c r="I872" s="29"/>
    </row>
    <row r="873" ht="14.25" customHeight="1">
      <c r="C873" s="29"/>
      <c r="D873" s="29"/>
      <c r="E873" s="29"/>
      <c r="F873" s="29"/>
      <c r="G873" s="29"/>
      <c r="H873" s="29"/>
      <c r="I873" s="29"/>
    </row>
    <row r="874" ht="14.25" customHeight="1">
      <c r="C874" s="29"/>
      <c r="D874" s="29"/>
      <c r="E874" s="29"/>
      <c r="F874" s="29"/>
      <c r="G874" s="29"/>
      <c r="H874" s="29"/>
      <c r="I874" s="29"/>
    </row>
    <row r="875" ht="14.25" customHeight="1">
      <c r="C875" s="29"/>
      <c r="D875" s="29"/>
      <c r="E875" s="29"/>
      <c r="F875" s="29"/>
      <c r="G875" s="29"/>
      <c r="H875" s="29"/>
      <c r="I875" s="29"/>
    </row>
    <row r="876" ht="14.25" customHeight="1">
      <c r="C876" s="29"/>
      <c r="D876" s="29"/>
      <c r="E876" s="29"/>
      <c r="F876" s="29"/>
      <c r="G876" s="29"/>
      <c r="H876" s="29"/>
      <c r="I876" s="29"/>
    </row>
    <row r="877" ht="14.25" customHeight="1">
      <c r="C877" s="29"/>
      <c r="D877" s="29"/>
      <c r="E877" s="29"/>
      <c r="F877" s="29"/>
      <c r="G877" s="29"/>
      <c r="H877" s="29"/>
      <c r="I877" s="29"/>
    </row>
    <row r="878" ht="14.25" customHeight="1">
      <c r="C878" s="29"/>
      <c r="D878" s="29"/>
      <c r="E878" s="29"/>
      <c r="F878" s="29"/>
      <c r="G878" s="29"/>
      <c r="H878" s="29"/>
      <c r="I878" s="29"/>
    </row>
    <row r="879" ht="14.25" customHeight="1">
      <c r="C879" s="29"/>
      <c r="D879" s="29"/>
      <c r="E879" s="29"/>
      <c r="F879" s="29"/>
      <c r="G879" s="29"/>
      <c r="H879" s="29"/>
      <c r="I879" s="29"/>
    </row>
    <row r="880" ht="14.25" customHeight="1">
      <c r="C880" s="29"/>
      <c r="D880" s="29"/>
      <c r="E880" s="29"/>
      <c r="F880" s="29"/>
      <c r="G880" s="29"/>
      <c r="H880" s="29"/>
      <c r="I880" s="29"/>
    </row>
    <row r="881" ht="14.25" customHeight="1">
      <c r="C881" s="29"/>
      <c r="D881" s="29"/>
      <c r="E881" s="29"/>
      <c r="F881" s="29"/>
      <c r="G881" s="29"/>
      <c r="H881" s="29"/>
      <c r="I881" s="29"/>
    </row>
    <row r="882" ht="14.25" customHeight="1">
      <c r="C882" s="29"/>
      <c r="D882" s="29"/>
      <c r="E882" s="29"/>
      <c r="F882" s="29"/>
      <c r="G882" s="29"/>
      <c r="H882" s="29"/>
      <c r="I882" s="29"/>
    </row>
    <row r="883" ht="14.25" customHeight="1">
      <c r="C883" s="29"/>
      <c r="D883" s="29"/>
      <c r="E883" s="29"/>
      <c r="F883" s="29"/>
      <c r="G883" s="29"/>
      <c r="H883" s="29"/>
      <c r="I883" s="29"/>
    </row>
    <row r="884" ht="14.25" customHeight="1">
      <c r="C884" s="29"/>
      <c r="D884" s="29"/>
      <c r="E884" s="29"/>
      <c r="F884" s="29"/>
      <c r="G884" s="29"/>
      <c r="H884" s="29"/>
      <c r="I884" s="29"/>
    </row>
    <row r="885" ht="14.25" customHeight="1">
      <c r="C885" s="29"/>
      <c r="D885" s="29"/>
      <c r="E885" s="29"/>
      <c r="F885" s="29"/>
      <c r="G885" s="29"/>
      <c r="H885" s="29"/>
      <c r="I885" s="29"/>
    </row>
    <row r="886" ht="14.25" customHeight="1">
      <c r="C886" s="29"/>
      <c r="D886" s="29"/>
      <c r="E886" s="29"/>
      <c r="F886" s="29"/>
      <c r="G886" s="29"/>
      <c r="H886" s="29"/>
      <c r="I886" s="29"/>
    </row>
    <row r="887" ht="14.25" customHeight="1">
      <c r="C887" s="29"/>
      <c r="D887" s="29"/>
      <c r="E887" s="29"/>
      <c r="F887" s="29"/>
      <c r="G887" s="29"/>
      <c r="H887" s="29"/>
      <c r="I887" s="29"/>
    </row>
    <row r="888" ht="14.25" customHeight="1">
      <c r="C888" s="29"/>
      <c r="D888" s="29"/>
      <c r="E888" s="29"/>
      <c r="F888" s="29"/>
      <c r="G888" s="29"/>
      <c r="H888" s="29"/>
      <c r="I888" s="29"/>
    </row>
    <row r="889" ht="14.25" customHeight="1">
      <c r="C889" s="29"/>
      <c r="D889" s="29"/>
      <c r="E889" s="29"/>
      <c r="F889" s="29"/>
      <c r="G889" s="29"/>
      <c r="H889" s="29"/>
      <c r="I889" s="29"/>
    </row>
    <row r="890" ht="14.25" customHeight="1">
      <c r="C890" s="29"/>
      <c r="D890" s="29"/>
      <c r="E890" s="29"/>
      <c r="F890" s="29"/>
      <c r="G890" s="29"/>
      <c r="H890" s="29"/>
      <c r="I890" s="29"/>
    </row>
    <row r="891" ht="14.25" customHeight="1">
      <c r="C891" s="29"/>
      <c r="D891" s="29"/>
      <c r="E891" s="29"/>
      <c r="F891" s="29"/>
      <c r="G891" s="29"/>
      <c r="H891" s="29"/>
      <c r="I891" s="29"/>
    </row>
    <row r="892" ht="14.25" customHeight="1">
      <c r="C892" s="29"/>
      <c r="D892" s="29"/>
      <c r="E892" s="29"/>
      <c r="F892" s="29"/>
      <c r="G892" s="29"/>
      <c r="H892" s="29"/>
      <c r="I892" s="29"/>
    </row>
    <row r="893" ht="14.25" customHeight="1">
      <c r="C893" s="29"/>
      <c r="D893" s="29"/>
      <c r="E893" s="29"/>
      <c r="F893" s="29"/>
      <c r="G893" s="29"/>
      <c r="H893" s="29"/>
      <c r="I893" s="29"/>
    </row>
    <row r="894" ht="14.25" customHeight="1">
      <c r="C894" s="29"/>
      <c r="D894" s="29"/>
      <c r="E894" s="29"/>
      <c r="F894" s="29"/>
      <c r="G894" s="29"/>
      <c r="H894" s="29"/>
      <c r="I894" s="29"/>
    </row>
    <row r="895" ht="14.25" customHeight="1">
      <c r="C895" s="29"/>
      <c r="D895" s="29"/>
      <c r="E895" s="29"/>
      <c r="F895" s="29"/>
      <c r="G895" s="29"/>
      <c r="H895" s="29"/>
      <c r="I895" s="29"/>
    </row>
    <row r="896" ht="14.25" customHeight="1">
      <c r="C896" s="29"/>
      <c r="D896" s="29"/>
      <c r="E896" s="29"/>
      <c r="F896" s="29"/>
      <c r="G896" s="29"/>
      <c r="H896" s="29"/>
      <c r="I896" s="29"/>
    </row>
    <row r="897" ht="14.25" customHeight="1">
      <c r="C897" s="29"/>
      <c r="D897" s="29"/>
      <c r="E897" s="29"/>
      <c r="F897" s="29"/>
      <c r="G897" s="29"/>
      <c r="H897" s="29"/>
      <c r="I897" s="29"/>
    </row>
    <row r="898" ht="14.25" customHeight="1">
      <c r="C898" s="29"/>
      <c r="D898" s="29"/>
      <c r="E898" s="29"/>
      <c r="F898" s="29"/>
      <c r="G898" s="29"/>
      <c r="H898" s="29"/>
      <c r="I898" s="29"/>
    </row>
    <row r="899" ht="14.25" customHeight="1">
      <c r="C899" s="29"/>
      <c r="D899" s="29"/>
      <c r="E899" s="29"/>
      <c r="F899" s="29"/>
      <c r="G899" s="29"/>
      <c r="H899" s="29"/>
      <c r="I899" s="29"/>
    </row>
    <row r="900" ht="14.25" customHeight="1">
      <c r="C900" s="29"/>
      <c r="D900" s="29"/>
      <c r="E900" s="29"/>
      <c r="F900" s="29"/>
      <c r="G900" s="29"/>
      <c r="H900" s="29"/>
      <c r="I900" s="29"/>
    </row>
    <row r="901" ht="14.25" customHeight="1">
      <c r="C901" s="29"/>
      <c r="D901" s="29"/>
      <c r="E901" s="29"/>
      <c r="F901" s="29"/>
      <c r="G901" s="29"/>
      <c r="H901" s="29"/>
      <c r="I901" s="29"/>
    </row>
    <row r="902" ht="14.25" customHeight="1">
      <c r="C902" s="29"/>
      <c r="D902" s="29"/>
      <c r="E902" s="29"/>
      <c r="F902" s="29"/>
      <c r="G902" s="29"/>
      <c r="H902" s="29"/>
      <c r="I902" s="29"/>
    </row>
    <row r="903" ht="14.25" customHeight="1">
      <c r="C903" s="29"/>
      <c r="D903" s="29"/>
      <c r="E903" s="29"/>
      <c r="F903" s="29"/>
      <c r="G903" s="29"/>
      <c r="H903" s="29"/>
      <c r="I903" s="29"/>
    </row>
    <row r="904" ht="14.25" customHeight="1">
      <c r="C904" s="29"/>
      <c r="D904" s="29"/>
      <c r="E904" s="29"/>
      <c r="F904" s="29"/>
      <c r="G904" s="29"/>
      <c r="H904" s="29"/>
      <c r="I904" s="29"/>
    </row>
    <row r="905" ht="14.25" customHeight="1">
      <c r="C905" s="29"/>
      <c r="D905" s="29"/>
      <c r="E905" s="29"/>
      <c r="F905" s="29"/>
      <c r="G905" s="29"/>
      <c r="H905" s="29"/>
      <c r="I905" s="29"/>
    </row>
    <row r="906" ht="14.25" customHeight="1">
      <c r="C906" s="29"/>
      <c r="D906" s="29"/>
      <c r="E906" s="29"/>
      <c r="F906" s="29"/>
      <c r="G906" s="29"/>
      <c r="H906" s="29"/>
      <c r="I906" s="29"/>
    </row>
    <row r="907" ht="14.25" customHeight="1">
      <c r="C907" s="29"/>
      <c r="D907" s="29"/>
      <c r="E907" s="29"/>
      <c r="F907" s="29"/>
      <c r="G907" s="29"/>
      <c r="H907" s="29"/>
      <c r="I907" s="29"/>
    </row>
    <row r="908" ht="14.25" customHeight="1">
      <c r="C908" s="29"/>
      <c r="D908" s="29"/>
      <c r="E908" s="29"/>
      <c r="F908" s="29"/>
      <c r="G908" s="29"/>
      <c r="H908" s="29"/>
      <c r="I908" s="29"/>
    </row>
    <row r="909" ht="14.25" customHeight="1">
      <c r="C909" s="29"/>
      <c r="D909" s="29"/>
      <c r="E909" s="29"/>
      <c r="F909" s="29"/>
      <c r="G909" s="29"/>
      <c r="H909" s="29"/>
      <c r="I909" s="29"/>
    </row>
    <row r="910" ht="14.25" customHeight="1">
      <c r="C910" s="29"/>
      <c r="D910" s="29"/>
      <c r="E910" s="29"/>
      <c r="F910" s="29"/>
      <c r="G910" s="29"/>
      <c r="H910" s="29"/>
      <c r="I910" s="29"/>
    </row>
    <row r="911" ht="14.25" customHeight="1">
      <c r="C911" s="29"/>
      <c r="D911" s="29"/>
      <c r="E911" s="29"/>
      <c r="F911" s="29"/>
      <c r="G911" s="29"/>
      <c r="H911" s="29"/>
      <c r="I911" s="29"/>
    </row>
    <row r="912" ht="14.25" customHeight="1">
      <c r="C912" s="29"/>
      <c r="D912" s="29"/>
      <c r="E912" s="29"/>
      <c r="F912" s="29"/>
      <c r="G912" s="29"/>
      <c r="H912" s="29"/>
      <c r="I912" s="29"/>
    </row>
    <row r="913" ht="14.25" customHeight="1">
      <c r="C913" s="29"/>
      <c r="D913" s="29"/>
      <c r="E913" s="29"/>
      <c r="F913" s="29"/>
      <c r="G913" s="29"/>
      <c r="H913" s="29"/>
      <c r="I913" s="29"/>
    </row>
    <row r="914" ht="14.25" customHeight="1">
      <c r="C914" s="29"/>
      <c r="D914" s="29"/>
      <c r="E914" s="29"/>
      <c r="F914" s="29"/>
      <c r="G914" s="29"/>
      <c r="H914" s="29"/>
      <c r="I914" s="29"/>
    </row>
    <row r="915" ht="14.25" customHeight="1">
      <c r="C915" s="29"/>
      <c r="D915" s="29"/>
      <c r="E915" s="29"/>
      <c r="F915" s="29"/>
      <c r="G915" s="29"/>
      <c r="H915" s="29"/>
      <c r="I915" s="29"/>
    </row>
    <row r="916" ht="14.25" customHeight="1">
      <c r="C916" s="29"/>
      <c r="D916" s="29"/>
      <c r="E916" s="29"/>
      <c r="F916" s="29"/>
      <c r="G916" s="29"/>
      <c r="H916" s="29"/>
      <c r="I916" s="29"/>
    </row>
    <row r="917" ht="14.25" customHeight="1">
      <c r="C917" s="29"/>
      <c r="D917" s="29"/>
      <c r="E917" s="29"/>
      <c r="F917" s="29"/>
      <c r="G917" s="29"/>
      <c r="H917" s="29"/>
      <c r="I917" s="29"/>
    </row>
    <row r="918" ht="14.25" customHeight="1">
      <c r="C918" s="29"/>
      <c r="D918" s="29"/>
      <c r="E918" s="29"/>
      <c r="F918" s="29"/>
      <c r="G918" s="29"/>
      <c r="H918" s="29"/>
      <c r="I918" s="29"/>
    </row>
    <row r="919" ht="14.25" customHeight="1">
      <c r="C919" s="29"/>
      <c r="D919" s="29"/>
      <c r="E919" s="29"/>
      <c r="F919" s="29"/>
      <c r="G919" s="29"/>
      <c r="H919" s="29"/>
      <c r="I919" s="29"/>
    </row>
    <row r="920" ht="14.25" customHeight="1">
      <c r="C920" s="29"/>
      <c r="D920" s="29"/>
      <c r="E920" s="29"/>
      <c r="F920" s="29"/>
      <c r="G920" s="29"/>
      <c r="H920" s="29"/>
      <c r="I920" s="29"/>
    </row>
    <row r="921" ht="14.25" customHeight="1">
      <c r="C921" s="29"/>
      <c r="D921" s="29"/>
      <c r="E921" s="29"/>
      <c r="F921" s="29"/>
      <c r="G921" s="29"/>
      <c r="H921" s="29"/>
      <c r="I921" s="29"/>
    </row>
    <row r="922" ht="14.25" customHeight="1">
      <c r="C922" s="29"/>
      <c r="D922" s="29"/>
      <c r="E922" s="29"/>
      <c r="F922" s="29"/>
      <c r="G922" s="29"/>
      <c r="H922" s="29"/>
      <c r="I922" s="29"/>
    </row>
    <row r="923" ht="14.25" customHeight="1">
      <c r="C923" s="29"/>
      <c r="D923" s="29"/>
      <c r="E923" s="29"/>
      <c r="F923" s="29"/>
      <c r="G923" s="29"/>
      <c r="H923" s="29"/>
      <c r="I923" s="29"/>
    </row>
    <row r="924" ht="14.25" customHeight="1">
      <c r="C924" s="29"/>
      <c r="D924" s="29"/>
      <c r="E924" s="29"/>
      <c r="F924" s="29"/>
      <c r="G924" s="29"/>
      <c r="H924" s="29"/>
      <c r="I924" s="29"/>
    </row>
    <row r="925" ht="14.25" customHeight="1">
      <c r="C925" s="29"/>
      <c r="D925" s="29"/>
      <c r="E925" s="29"/>
      <c r="F925" s="29"/>
      <c r="G925" s="29"/>
      <c r="H925" s="29"/>
      <c r="I925" s="29"/>
    </row>
    <row r="926" ht="14.25" customHeight="1">
      <c r="C926" s="29"/>
      <c r="D926" s="29"/>
      <c r="E926" s="29"/>
      <c r="F926" s="29"/>
      <c r="G926" s="29"/>
      <c r="H926" s="29"/>
      <c r="I926" s="29"/>
    </row>
    <row r="927" ht="14.25" customHeight="1">
      <c r="C927" s="29"/>
      <c r="D927" s="29"/>
      <c r="E927" s="29"/>
      <c r="F927" s="29"/>
      <c r="G927" s="29"/>
      <c r="H927" s="29"/>
      <c r="I927" s="29"/>
    </row>
    <row r="928" ht="14.25" customHeight="1">
      <c r="C928" s="29"/>
      <c r="D928" s="29"/>
      <c r="E928" s="29"/>
      <c r="F928" s="29"/>
      <c r="G928" s="29"/>
      <c r="H928" s="29"/>
      <c r="I928" s="29"/>
    </row>
    <row r="929" ht="14.25" customHeight="1">
      <c r="C929" s="29"/>
      <c r="D929" s="29"/>
      <c r="E929" s="29"/>
      <c r="F929" s="29"/>
      <c r="G929" s="29"/>
      <c r="H929" s="29"/>
      <c r="I929" s="29"/>
    </row>
    <row r="930" ht="14.25" customHeight="1">
      <c r="C930" s="29"/>
      <c r="D930" s="29"/>
      <c r="E930" s="29"/>
      <c r="F930" s="29"/>
      <c r="G930" s="29"/>
      <c r="H930" s="29"/>
      <c r="I930" s="29"/>
    </row>
    <row r="931" ht="14.25" customHeight="1">
      <c r="C931" s="29"/>
      <c r="D931" s="29"/>
      <c r="E931" s="29"/>
      <c r="F931" s="29"/>
      <c r="G931" s="29"/>
      <c r="H931" s="29"/>
      <c r="I931" s="29"/>
    </row>
    <row r="932" ht="14.25" customHeight="1">
      <c r="C932" s="29"/>
      <c r="D932" s="29"/>
      <c r="E932" s="29"/>
      <c r="F932" s="29"/>
      <c r="G932" s="29"/>
      <c r="H932" s="29"/>
      <c r="I932" s="29"/>
    </row>
    <row r="933" ht="14.25" customHeight="1">
      <c r="C933" s="29"/>
      <c r="D933" s="29"/>
      <c r="E933" s="29"/>
      <c r="F933" s="29"/>
      <c r="G933" s="29"/>
      <c r="H933" s="29"/>
      <c r="I933" s="29"/>
    </row>
    <row r="934" ht="14.25" customHeight="1">
      <c r="C934" s="29"/>
      <c r="D934" s="29"/>
      <c r="E934" s="29"/>
      <c r="F934" s="29"/>
      <c r="G934" s="29"/>
      <c r="H934" s="29"/>
      <c r="I934" s="29"/>
    </row>
    <row r="935" ht="14.25" customHeight="1">
      <c r="C935" s="29"/>
      <c r="D935" s="29"/>
      <c r="E935" s="29"/>
      <c r="F935" s="29"/>
      <c r="G935" s="29"/>
      <c r="H935" s="29"/>
      <c r="I935" s="29"/>
    </row>
    <row r="936" ht="14.25" customHeight="1">
      <c r="C936" s="29"/>
      <c r="D936" s="29"/>
      <c r="E936" s="29"/>
      <c r="F936" s="29"/>
      <c r="G936" s="29"/>
      <c r="H936" s="29"/>
      <c r="I936" s="29"/>
    </row>
    <row r="937" ht="14.25" customHeight="1">
      <c r="C937" s="29"/>
      <c r="D937" s="29"/>
      <c r="E937" s="29"/>
      <c r="F937" s="29"/>
      <c r="G937" s="29"/>
      <c r="H937" s="29"/>
      <c r="I937" s="29"/>
    </row>
    <row r="938" ht="14.25" customHeight="1">
      <c r="C938" s="29"/>
      <c r="D938" s="29"/>
      <c r="E938" s="29"/>
      <c r="F938" s="29"/>
      <c r="G938" s="29"/>
      <c r="H938" s="29"/>
      <c r="I938" s="29"/>
    </row>
    <row r="939" ht="14.25" customHeight="1">
      <c r="C939" s="29"/>
      <c r="D939" s="29"/>
      <c r="E939" s="29"/>
      <c r="F939" s="29"/>
      <c r="G939" s="29"/>
      <c r="H939" s="29"/>
      <c r="I939" s="29"/>
    </row>
    <row r="940" ht="14.25" customHeight="1">
      <c r="C940" s="29"/>
      <c r="D940" s="29"/>
      <c r="E940" s="29"/>
      <c r="F940" s="29"/>
      <c r="G940" s="29"/>
      <c r="H940" s="29"/>
      <c r="I940" s="29"/>
    </row>
    <row r="941" ht="14.25" customHeight="1">
      <c r="C941" s="29"/>
      <c r="D941" s="29"/>
      <c r="E941" s="29"/>
      <c r="F941" s="29"/>
      <c r="G941" s="29"/>
      <c r="H941" s="29"/>
      <c r="I941" s="29"/>
    </row>
    <row r="942" ht="14.25" customHeight="1">
      <c r="C942" s="29"/>
      <c r="D942" s="29"/>
      <c r="E942" s="29"/>
      <c r="F942" s="29"/>
      <c r="G942" s="29"/>
      <c r="H942" s="29"/>
      <c r="I942" s="29"/>
    </row>
    <row r="943" ht="14.25" customHeight="1">
      <c r="C943" s="29"/>
      <c r="D943" s="29"/>
      <c r="E943" s="29"/>
      <c r="F943" s="29"/>
      <c r="G943" s="29"/>
      <c r="H943" s="29"/>
      <c r="I943" s="29"/>
    </row>
    <row r="944" ht="14.25" customHeight="1">
      <c r="C944" s="29"/>
      <c r="D944" s="29"/>
      <c r="E944" s="29"/>
      <c r="F944" s="29"/>
      <c r="G944" s="29"/>
      <c r="H944" s="29"/>
      <c r="I944" s="29"/>
    </row>
    <row r="945" ht="14.25" customHeight="1">
      <c r="C945" s="29"/>
      <c r="D945" s="29"/>
      <c r="E945" s="29"/>
      <c r="F945" s="29"/>
      <c r="G945" s="29"/>
      <c r="H945" s="29"/>
      <c r="I945" s="29"/>
    </row>
    <row r="946" ht="14.25" customHeight="1">
      <c r="C946" s="29"/>
      <c r="D946" s="29"/>
      <c r="E946" s="29"/>
      <c r="F946" s="29"/>
      <c r="G946" s="29"/>
      <c r="H946" s="29"/>
      <c r="I946" s="29"/>
    </row>
    <row r="947" ht="14.25" customHeight="1">
      <c r="C947" s="29"/>
      <c r="D947" s="29"/>
      <c r="E947" s="29"/>
      <c r="F947" s="29"/>
      <c r="G947" s="29"/>
      <c r="H947" s="29"/>
      <c r="I947" s="29"/>
    </row>
    <row r="948" ht="14.25" customHeight="1">
      <c r="C948" s="29"/>
      <c r="D948" s="29"/>
      <c r="E948" s="29"/>
      <c r="F948" s="29"/>
      <c r="G948" s="29"/>
      <c r="H948" s="29"/>
      <c r="I948" s="29"/>
    </row>
    <row r="949" ht="14.25" customHeight="1">
      <c r="C949" s="29"/>
      <c r="D949" s="29"/>
      <c r="E949" s="29"/>
      <c r="F949" s="29"/>
      <c r="G949" s="29"/>
      <c r="H949" s="29"/>
      <c r="I949" s="29"/>
    </row>
    <row r="950" ht="14.25" customHeight="1">
      <c r="C950" s="29"/>
      <c r="D950" s="29"/>
      <c r="E950" s="29"/>
      <c r="F950" s="29"/>
      <c r="G950" s="29"/>
      <c r="H950" s="29"/>
      <c r="I950" s="29"/>
    </row>
    <row r="951" ht="14.25" customHeight="1">
      <c r="C951" s="29"/>
      <c r="D951" s="29"/>
      <c r="E951" s="29"/>
      <c r="F951" s="29"/>
      <c r="G951" s="29"/>
      <c r="H951" s="29"/>
      <c r="I951" s="29"/>
    </row>
    <row r="952" ht="14.25" customHeight="1">
      <c r="C952" s="29"/>
      <c r="D952" s="29"/>
      <c r="E952" s="29"/>
      <c r="F952" s="29"/>
      <c r="G952" s="29"/>
      <c r="H952" s="29"/>
      <c r="I952" s="29"/>
    </row>
    <row r="953" ht="14.25" customHeight="1">
      <c r="C953" s="29"/>
      <c r="D953" s="29"/>
      <c r="E953" s="29"/>
      <c r="F953" s="29"/>
      <c r="G953" s="29"/>
      <c r="H953" s="29"/>
      <c r="I953" s="29"/>
    </row>
    <row r="954" ht="14.25" customHeight="1">
      <c r="C954" s="29"/>
      <c r="D954" s="29"/>
      <c r="E954" s="29"/>
      <c r="F954" s="29"/>
      <c r="G954" s="29"/>
      <c r="H954" s="29"/>
      <c r="I954" s="29"/>
    </row>
    <row r="955" ht="14.25" customHeight="1">
      <c r="C955" s="29"/>
      <c r="D955" s="29"/>
      <c r="E955" s="29"/>
      <c r="F955" s="29"/>
      <c r="G955" s="29"/>
      <c r="H955" s="29"/>
      <c r="I955" s="29"/>
    </row>
    <row r="956" ht="14.25" customHeight="1">
      <c r="C956" s="29"/>
      <c r="D956" s="29"/>
      <c r="E956" s="29"/>
      <c r="F956" s="29"/>
      <c r="G956" s="29"/>
      <c r="H956" s="29"/>
      <c r="I956" s="29"/>
    </row>
    <row r="957" ht="14.25" customHeight="1">
      <c r="C957" s="29"/>
      <c r="D957" s="29"/>
      <c r="E957" s="29"/>
      <c r="F957" s="29"/>
      <c r="G957" s="29"/>
      <c r="H957" s="29"/>
      <c r="I957" s="29"/>
    </row>
    <row r="958" ht="14.25" customHeight="1">
      <c r="C958" s="29"/>
      <c r="D958" s="29"/>
      <c r="E958" s="29"/>
      <c r="F958" s="29"/>
      <c r="G958" s="29"/>
      <c r="H958" s="29"/>
      <c r="I958" s="29"/>
    </row>
    <row r="959" ht="14.25" customHeight="1">
      <c r="C959" s="29"/>
      <c r="D959" s="29"/>
      <c r="E959" s="29"/>
      <c r="F959" s="29"/>
      <c r="G959" s="29"/>
      <c r="H959" s="29"/>
      <c r="I959" s="29"/>
    </row>
    <row r="960" ht="14.25" customHeight="1">
      <c r="C960" s="29"/>
      <c r="D960" s="29"/>
      <c r="E960" s="29"/>
      <c r="F960" s="29"/>
      <c r="G960" s="29"/>
      <c r="H960" s="29"/>
      <c r="I960" s="29"/>
    </row>
    <row r="961" ht="14.25" customHeight="1">
      <c r="C961" s="29"/>
      <c r="D961" s="29"/>
      <c r="E961" s="29"/>
      <c r="F961" s="29"/>
      <c r="G961" s="29"/>
      <c r="H961" s="29"/>
      <c r="I961" s="29"/>
    </row>
    <row r="962" ht="14.25" customHeight="1">
      <c r="C962" s="29"/>
      <c r="D962" s="29"/>
      <c r="E962" s="29"/>
      <c r="F962" s="29"/>
      <c r="G962" s="29"/>
      <c r="H962" s="29"/>
      <c r="I962" s="29"/>
    </row>
    <row r="963" ht="14.25" customHeight="1">
      <c r="C963" s="29"/>
      <c r="D963" s="29"/>
      <c r="E963" s="29"/>
      <c r="F963" s="29"/>
      <c r="G963" s="29"/>
      <c r="H963" s="29"/>
      <c r="I963" s="29"/>
    </row>
    <row r="964" ht="14.25" customHeight="1">
      <c r="C964" s="29"/>
      <c r="D964" s="29"/>
      <c r="E964" s="29"/>
      <c r="F964" s="29"/>
      <c r="G964" s="29"/>
      <c r="H964" s="29"/>
      <c r="I964" s="29"/>
    </row>
    <row r="965" ht="14.25" customHeight="1">
      <c r="C965" s="29"/>
      <c r="D965" s="29"/>
      <c r="E965" s="29"/>
      <c r="F965" s="29"/>
      <c r="G965" s="29"/>
      <c r="H965" s="29"/>
      <c r="I965" s="29"/>
    </row>
    <row r="966" ht="14.25" customHeight="1">
      <c r="C966" s="29"/>
      <c r="D966" s="29"/>
      <c r="E966" s="29"/>
      <c r="F966" s="29"/>
      <c r="G966" s="29"/>
      <c r="H966" s="29"/>
      <c r="I966" s="29"/>
    </row>
    <row r="967" ht="14.25" customHeight="1">
      <c r="C967" s="29"/>
      <c r="D967" s="29"/>
      <c r="E967" s="29"/>
      <c r="F967" s="29"/>
      <c r="G967" s="29"/>
      <c r="H967" s="29"/>
      <c r="I967" s="29"/>
    </row>
    <row r="968" ht="14.25" customHeight="1">
      <c r="C968" s="29"/>
      <c r="D968" s="29"/>
      <c r="E968" s="29"/>
      <c r="F968" s="29"/>
      <c r="G968" s="29"/>
      <c r="H968" s="29"/>
      <c r="I968" s="29"/>
    </row>
    <row r="969" ht="14.25" customHeight="1">
      <c r="C969" s="29"/>
      <c r="D969" s="29"/>
      <c r="E969" s="29"/>
      <c r="F969" s="29"/>
      <c r="G969" s="29"/>
      <c r="H969" s="29"/>
      <c r="I969" s="29"/>
    </row>
    <row r="970" ht="14.25" customHeight="1">
      <c r="C970" s="29"/>
      <c r="D970" s="29"/>
      <c r="E970" s="29"/>
      <c r="F970" s="29"/>
      <c r="G970" s="29"/>
      <c r="H970" s="29"/>
      <c r="I970" s="29"/>
    </row>
    <row r="971" ht="14.25" customHeight="1">
      <c r="C971" s="29"/>
      <c r="D971" s="29"/>
      <c r="E971" s="29"/>
      <c r="F971" s="29"/>
      <c r="G971" s="29"/>
      <c r="H971" s="29"/>
      <c r="I971" s="29"/>
    </row>
    <row r="972" ht="14.25" customHeight="1">
      <c r="C972" s="29"/>
      <c r="D972" s="29"/>
      <c r="E972" s="29"/>
      <c r="F972" s="29"/>
      <c r="G972" s="29"/>
      <c r="H972" s="29"/>
      <c r="I972" s="29"/>
    </row>
    <row r="973" ht="14.25" customHeight="1">
      <c r="C973" s="29"/>
      <c r="D973" s="29"/>
      <c r="E973" s="29"/>
      <c r="F973" s="29"/>
      <c r="G973" s="29"/>
      <c r="H973" s="29"/>
      <c r="I973" s="29"/>
    </row>
    <row r="974" ht="14.25" customHeight="1">
      <c r="C974" s="29"/>
      <c r="D974" s="29"/>
      <c r="E974" s="29"/>
      <c r="F974" s="29"/>
      <c r="G974" s="29"/>
      <c r="H974" s="29"/>
      <c r="I974" s="29"/>
    </row>
    <row r="975" ht="14.25" customHeight="1">
      <c r="C975" s="29"/>
      <c r="D975" s="29"/>
      <c r="E975" s="29"/>
      <c r="F975" s="29"/>
      <c r="G975" s="29"/>
      <c r="H975" s="29"/>
      <c r="I975" s="29"/>
    </row>
    <row r="976" ht="14.25" customHeight="1">
      <c r="C976" s="29"/>
      <c r="D976" s="29"/>
      <c r="E976" s="29"/>
      <c r="F976" s="29"/>
      <c r="G976" s="29"/>
      <c r="H976" s="29"/>
      <c r="I976" s="29"/>
    </row>
    <row r="977" ht="14.25" customHeight="1">
      <c r="C977" s="29"/>
      <c r="D977" s="29"/>
      <c r="E977" s="29"/>
      <c r="F977" s="29"/>
      <c r="G977" s="29"/>
      <c r="H977" s="29"/>
      <c r="I977" s="29"/>
    </row>
    <row r="978" ht="14.25" customHeight="1">
      <c r="C978" s="29"/>
      <c r="D978" s="29"/>
      <c r="E978" s="29"/>
      <c r="F978" s="29"/>
      <c r="G978" s="29"/>
      <c r="H978" s="29"/>
      <c r="I978" s="29"/>
    </row>
    <row r="979" ht="14.25" customHeight="1">
      <c r="C979" s="29"/>
      <c r="D979" s="29"/>
      <c r="E979" s="29"/>
      <c r="F979" s="29"/>
      <c r="G979" s="29"/>
      <c r="H979" s="29"/>
      <c r="I979" s="29"/>
    </row>
    <row r="980" ht="14.25" customHeight="1">
      <c r="C980" s="29"/>
      <c r="D980" s="29"/>
      <c r="E980" s="29"/>
      <c r="F980" s="29"/>
      <c r="G980" s="29"/>
      <c r="H980" s="29"/>
      <c r="I980" s="29"/>
    </row>
    <row r="981" ht="14.25" customHeight="1">
      <c r="C981" s="29"/>
      <c r="D981" s="29"/>
      <c r="E981" s="29"/>
      <c r="F981" s="29"/>
      <c r="G981" s="29"/>
      <c r="H981" s="29"/>
      <c r="I981" s="29"/>
    </row>
    <row r="982" ht="14.25" customHeight="1">
      <c r="C982" s="29"/>
      <c r="D982" s="29"/>
      <c r="E982" s="29"/>
      <c r="F982" s="29"/>
      <c r="G982" s="29"/>
      <c r="H982" s="29"/>
      <c r="I982" s="29"/>
    </row>
    <row r="983" ht="14.25" customHeight="1">
      <c r="C983" s="29"/>
      <c r="D983" s="29"/>
      <c r="E983" s="29"/>
      <c r="F983" s="29"/>
      <c r="G983" s="29"/>
      <c r="H983" s="29"/>
      <c r="I983" s="29"/>
    </row>
    <row r="984" ht="14.25" customHeight="1">
      <c r="C984" s="29"/>
      <c r="D984" s="29"/>
      <c r="E984" s="29"/>
      <c r="F984" s="29"/>
      <c r="G984" s="29"/>
      <c r="H984" s="29"/>
      <c r="I984" s="29"/>
    </row>
    <row r="985" ht="14.25" customHeight="1">
      <c r="C985" s="29"/>
      <c r="D985" s="29"/>
      <c r="E985" s="29"/>
      <c r="F985" s="29"/>
      <c r="G985" s="29"/>
      <c r="H985" s="29"/>
      <c r="I985" s="29"/>
    </row>
    <row r="986" ht="14.25" customHeight="1">
      <c r="C986" s="29"/>
      <c r="D986" s="29"/>
      <c r="E986" s="29"/>
      <c r="F986" s="29"/>
      <c r="G986" s="29"/>
      <c r="H986" s="29"/>
      <c r="I986" s="29"/>
    </row>
    <row r="987" ht="14.25" customHeight="1">
      <c r="C987" s="29"/>
      <c r="D987" s="29"/>
      <c r="E987" s="29"/>
      <c r="F987" s="29"/>
      <c r="G987" s="29"/>
      <c r="H987" s="29"/>
      <c r="I987" s="29"/>
    </row>
    <row r="988" ht="14.25" customHeight="1">
      <c r="C988" s="29"/>
      <c r="D988" s="29"/>
      <c r="E988" s="29"/>
      <c r="F988" s="29"/>
      <c r="G988" s="29"/>
      <c r="H988" s="29"/>
      <c r="I988" s="29"/>
    </row>
    <row r="989" ht="14.25" customHeight="1">
      <c r="C989" s="29"/>
      <c r="D989" s="29"/>
      <c r="E989" s="29"/>
      <c r="F989" s="29"/>
      <c r="G989" s="29"/>
      <c r="H989" s="29"/>
      <c r="I989" s="29"/>
    </row>
    <row r="990" ht="14.25" customHeight="1">
      <c r="C990" s="29"/>
      <c r="D990" s="29"/>
      <c r="E990" s="29"/>
      <c r="F990" s="29"/>
      <c r="G990" s="29"/>
      <c r="H990" s="29"/>
      <c r="I990" s="29"/>
    </row>
    <row r="991" ht="14.25" customHeight="1">
      <c r="C991" s="29"/>
      <c r="D991" s="29"/>
      <c r="E991" s="29"/>
      <c r="F991" s="29"/>
      <c r="G991" s="29"/>
      <c r="H991" s="29"/>
      <c r="I991" s="29"/>
    </row>
    <row r="992" ht="14.25" customHeight="1">
      <c r="C992" s="29"/>
      <c r="D992" s="29"/>
      <c r="E992" s="29"/>
      <c r="F992" s="29"/>
      <c r="G992" s="29"/>
      <c r="H992" s="29"/>
      <c r="I992" s="29"/>
    </row>
    <row r="993" ht="14.25" customHeight="1">
      <c r="C993" s="29"/>
      <c r="D993" s="29"/>
      <c r="E993" s="29"/>
      <c r="F993" s="29"/>
      <c r="G993" s="29"/>
      <c r="H993" s="29"/>
      <c r="I993" s="29"/>
    </row>
    <row r="994" ht="14.25" customHeight="1">
      <c r="C994" s="29"/>
      <c r="D994" s="29"/>
      <c r="E994" s="29"/>
      <c r="F994" s="29"/>
      <c r="G994" s="29"/>
      <c r="H994" s="29"/>
      <c r="I994" s="29"/>
    </row>
    <row r="995" ht="14.25" customHeight="1">
      <c r="C995" s="29"/>
      <c r="D995" s="29"/>
      <c r="E995" s="29"/>
      <c r="F995" s="29"/>
      <c r="G995" s="29"/>
      <c r="H995" s="29"/>
      <c r="I995" s="29"/>
    </row>
    <row r="996" ht="14.25" customHeight="1">
      <c r="C996" s="29"/>
      <c r="D996" s="29"/>
      <c r="E996" s="29"/>
      <c r="F996" s="29"/>
      <c r="G996" s="29"/>
      <c r="H996" s="29"/>
      <c r="I996" s="29"/>
    </row>
    <row r="997" ht="14.25" customHeight="1">
      <c r="C997" s="29"/>
      <c r="D997" s="29"/>
      <c r="E997" s="29"/>
      <c r="F997" s="29"/>
      <c r="G997" s="29"/>
      <c r="H997" s="29"/>
      <c r="I997" s="29"/>
    </row>
    <row r="998" ht="14.25" customHeight="1">
      <c r="C998" s="29"/>
      <c r="D998" s="29"/>
      <c r="E998" s="29"/>
      <c r="F998" s="29"/>
      <c r="G998" s="29"/>
      <c r="H998" s="29"/>
      <c r="I998" s="29"/>
    </row>
    <row r="999" ht="14.25" customHeight="1">
      <c r="C999" s="29"/>
      <c r="D999" s="29"/>
      <c r="E999" s="29"/>
      <c r="F999" s="29"/>
      <c r="G999" s="29"/>
      <c r="H999" s="29"/>
      <c r="I999" s="29"/>
    </row>
    <row r="1000" ht="14.25" customHeight="1">
      <c r="C1000" s="29"/>
      <c r="D1000" s="29"/>
      <c r="E1000" s="29"/>
      <c r="F1000" s="29"/>
      <c r="G1000" s="29"/>
      <c r="H1000" s="29"/>
      <c r="I1000" s="29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5" width="12.63"/>
    <col customWidth="1" min="6" max="6" width="12.0"/>
    <col customWidth="1" min="7" max="7" width="12.63"/>
    <col customWidth="1" min="8" max="8" width="16.5"/>
    <col customWidth="1" min="9" max="26" width="8.63"/>
  </cols>
  <sheetData>
    <row r="1" ht="14.25" customHeight="1">
      <c r="A1" s="52"/>
      <c r="B1" s="52" t="s">
        <v>546</v>
      </c>
      <c r="C1" s="52" t="s">
        <v>547</v>
      </c>
      <c r="D1" s="52" t="s">
        <v>548</v>
      </c>
      <c r="E1" s="52" t="s">
        <v>549</v>
      </c>
      <c r="F1" s="52" t="s">
        <v>550</v>
      </c>
      <c r="G1" s="52" t="s">
        <v>551</v>
      </c>
      <c r="H1" s="52" t="s">
        <v>552</v>
      </c>
    </row>
    <row r="2" ht="14.25" customHeight="1">
      <c r="A2" s="11" t="s">
        <v>546</v>
      </c>
      <c r="B2" s="30">
        <v>1.0</v>
      </c>
      <c r="C2" s="30"/>
      <c r="D2" s="30"/>
      <c r="E2" s="30"/>
      <c r="F2" s="30"/>
      <c r="G2" s="30"/>
      <c r="H2" s="30"/>
    </row>
    <row r="3" ht="14.25" customHeight="1">
      <c r="A3" s="11" t="s">
        <v>547</v>
      </c>
      <c r="B3" s="30">
        <v>-0.7431425988858966</v>
      </c>
      <c r="C3" s="30">
        <v>1.0</v>
      </c>
      <c r="D3" s="30"/>
      <c r="E3" s="30"/>
      <c r="F3" s="30"/>
      <c r="G3" s="30"/>
      <c r="H3" s="30"/>
    </row>
    <row r="4" ht="14.25" customHeight="1">
      <c r="A4" s="11" t="s">
        <v>548</v>
      </c>
      <c r="B4" s="30">
        <v>-0.8183578947652045</v>
      </c>
      <c r="C4" s="30">
        <v>0.6014218864826311</v>
      </c>
      <c r="D4" s="30">
        <v>1.0</v>
      </c>
      <c r="E4" s="30"/>
      <c r="F4" s="30"/>
      <c r="G4" s="30"/>
      <c r="H4" s="30"/>
    </row>
    <row r="5" ht="14.25" customHeight="1">
      <c r="A5" s="11" t="s">
        <v>549</v>
      </c>
      <c r="B5" s="30">
        <v>-0.6664221338038046</v>
      </c>
      <c r="C5" s="30">
        <v>0.7119723898343348</v>
      </c>
      <c r="D5" s="30">
        <v>0.6374670476751474</v>
      </c>
      <c r="E5" s="30">
        <v>1.0</v>
      </c>
      <c r="F5" s="30"/>
      <c r="G5" s="30"/>
      <c r="H5" s="30"/>
    </row>
    <row r="6" ht="14.25" customHeight="1">
      <c r="A6" s="11" t="s">
        <v>550</v>
      </c>
      <c r="B6" s="30">
        <v>0.7308723517685048</v>
      </c>
      <c r="C6" s="30">
        <v>-0.5566915414775462</v>
      </c>
      <c r="D6" s="30">
        <v>-0.7635471092642526</v>
      </c>
      <c r="E6" s="30">
        <v>-0.5507404968357753</v>
      </c>
      <c r="F6" s="30">
        <v>1.0</v>
      </c>
      <c r="G6" s="30"/>
      <c r="H6" s="30"/>
    </row>
    <row r="7" ht="14.25" customHeight="1">
      <c r="A7" s="11" t="s">
        <v>551</v>
      </c>
      <c r="B7" s="30">
        <v>-0.2099143816291291</v>
      </c>
      <c r="C7" s="30">
        <v>0.05687892049761826</v>
      </c>
      <c r="D7" s="30">
        <v>-0.08926715156586766</v>
      </c>
      <c r="E7" s="30">
        <v>0.14766495947040237</v>
      </c>
      <c r="F7" s="30">
        <v>0.1343545720155871</v>
      </c>
      <c r="G7" s="30">
        <v>1.0</v>
      </c>
      <c r="H7" s="30"/>
    </row>
    <row r="8" ht="14.25" customHeight="1">
      <c r="A8" s="53" t="s">
        <v>552</v>
      </c>
      <c r="B8" s="54">
        <v>0.09688666255147663</v>
      </c>
      <c r="C8" s="54">
        <v>-0.12811570528347607</v>
      </c>
      <c r="D8" s="54">
        <v>-0.05535936848943457</v>
      </c>
      <c r="E8" s="54">
        <v>-0.0950677941450787</v>
      </c>
      <c r="F8" s="54">
        <v>0.05343390335254593</v>
      </c>
      <c r="G8" s="54">
        <v>-0.35087053398294243</v>
      </c>
      <c r="H8" s="54">
        <v>1.0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32.38"/>
    <col customWidth="1" min="2" max="2" width="5.13"/>
    <col customWidth="1" min="3" max="9" width="16.5"/>
    <col customWidth="1" min="10" max="26" width="8.63"/>
  </cols>
  <sheetData>
    <row r="1" ht="14.25" customHeight="1">
      <c r="A1" s="25"/>
      <c r="B1" s="25"/>
      <c r="C1" s="47" t="s">
        <v>544</v>
      </c>
      <c r="D1" s="48" t="s">
        <v>545</v>
      </c>
      <c r="E1" s="48" t="s">
        <v>545</v>
      </c>
      <c r="F1" s="48" t="s">
        <v>545</v>
      </c>
      <c r="G1" s="47" t="s">
        <v>544</v>
      </c>
      <c r="H1" s="47" t="s">
        <v>544</v>
      </c>
      <c r="I1" s="48" t="s">
        <v>545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4.25" customHeight="1">
      <c r="A2" s="25"/>
      <c r="B2" s="25"/>
      <c r="C2" s="49">
        <v>2022.0</v>
      </c>
      <c r="D2" s="49">
        <v>2021.0</v>
      </c>
      <c r="E2" s="49">
        <v>2022.0</v>
      </c>
      <c r="F2" s="49">
        <v>2023.0</v>
      </c>
      <c r="G2" s="49">
        <v>2022.0</v>
      </c>
      <c r="H2" s="49">
        <v>2022.0</v>
      </c>
      <c r="I2" s="49">
        <v>2021.0</v>
      </c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50" t="s">
        <v>1</v>
      </c>
      <c r="B3" s="50" t="s">
        <v>2</v>
      </c>
      <c r="C3" s="51" t="s">
        <v>546</v>
      </c>
      <c r="D3" s="51" t="s">
        <v>547</v>
      </c>
      <c r="E3" s="51" t="s">
        <v>548</v>
      </c>
      <c r="F3" s="51" t="s">
        <v>549</v>
      </c>
      <c r="G3" s="51" t="s">
        <v>550</v>
      </c>
      <c r="H3" s="51" t="s">
        <v>551</v>
      </c>
      <c r="I3" s="51" t="s">
        <v>552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22" t="s">
        <v>3</v>
      </c>
      <c r="B4" s="22" t="s">
        <v>4</v>
      </c>
      <c r="C4" s="55">
        <v>82.1753711181707</v>
      </c>
      <c r="D4" s="29">
        <v>30.1</v>
      </c>
      <c r="E4" s="29">
        <v>54.47907525907931</v>
      </c>
      <c r="F4" s="29">
        <v>0.9112036337551631</v>
      </c>
      <c r="G4" s="29">
        <v>37.266040802002</v>
      </c>
      <c r="H4" s="29">
        <v>0.95</v>
      </c>
      <c r="I4" s="29">
        <v>8.2</v>
      </c>
    </row>
    <row r="5" ht="14.25" customHeight="1">
      <c r="A5" s="22" t="s">
        <v>5</v>
      </c>
      <c r="B5" s="22" t="s">
        <v>6</v>
      </c>
      <c r="C5" s="29">
        <v>95.09456352203576</v>
      </c>
      <c r="D5" s="29">
        <v>4.1</v>
      </c>
      <c r="E5" s="29">
        <v>0.13925180925598</v>
      </c>
      <c r="F5" s="29">
        <v>0.11744369862602223</v>
      </c>
      <c r="G5" s="29">
        <v>98.5</v>
      </c>
      <c r="H5" s="29">
        <v>0.96</v>
      </c>
      <c r="I5" s="29">
        <v>1.9</v>
      </c>
    </row>
    <row r="6" ht="14.25" customHeight="1">
      <c r="A6" s="22" t="s">
        <v>7</v>
      </c>
      <c r="B6" s="22" t="s">
        <v>8</v>
      </c>
      <c r="C6" s="29">
        <v>94.66139754792378</v>
      </c>
      <c r="D6" s="29">
        <v>2.5</v>
      </c>
      <c r="E6" s="29">
        <v>0.44245002649198</v>
      </c>
      <c r="F6" s="29">
        <v>0.12678002780037037</v>
      </c>
      <c r="G6" s="29">
        <v>81.4078369140625</v>
      </c>
      <c r="H6" s="29">
        <v>0.96</v>
      </c>
      <c r="I6" s="29">
        <v>8.1</v>
      </c>
    </row>
    <row r="7" ht="14.25" customHeight="1">
      <c r="A7" s="22" t="s">
        <v>9</v>
      </c>
      <c r="B7" s="22" t="s">
        <v>10</v>
      </c>
      <c r="C7" s="29"/>
      <c r="D7" s="29"/>
      <c r="E7" s="29"/>
      <c r="F7" s="29"/>
      <c r="G7" s="29"/>
      <c r="H7" s="29"/>
      <c r="I7" s="29"/>
    </row>
    <row r="8" ht="14.25" customHeight="1">
      <c r="A8" s="22" t="s">
        <v>11</v>
      </c>
      <c r="B8" s="22" t="s">
        <v>12</v>
      </c>
      <c r="C8" s="29">
        <v>99.0</v>
      </c>
      <c r="D8" s="29"/>
      <c r="E8" s="29"/>
      <c r="F8" s="29"/>
      <c r="G8" s="29"/>
      <c r="H8" s="29"/>
      <c r="I8" s="29">
        <v>2.5</v>
      </c>
    </row>
    <row r="9" ht="14.25" customHeight="1">
      <c r="A9" s="22" t="s">
        <v>13</v>
      </c>
      <c r="B9" s="22" t="s">
        <v>14</v>
      </c>
      <c r="C9" s="29">
        <v>57.7195606692859</v>
      </c>
      <c r="D9" s="29">
        <v>21.6</v>
      </c>
      <c r="E9" s="29">
        <v>44.12818221536702</v>
      </c>
      <c r="F9" s="29">
        <v>0.5989039518197595</v>
      </c>
      <c r="G9" s="29">
        <v>72.4000015258789</v>
      </c>
      <c r="H9" s="29">
        <v>0.98</v>
      </c>
      <c r="I9" s="29">
        <v>3.1</v>
      </c>
    </row>
    <row r="10" ht="14.25" customHeight="1">
      <c r="A10" s="22" t="s">
        <v>15</v>
      </c>
      <c r="B10" s="22" t="s">
        <v>16</v>
      </c>
      <c r="C10" s="29"/>
      <c r="D10" s="29"/>
      <c r="E10" s="29"/>
      <c r="F10" s="29"/>
      <c r="G10" s="29"/>
      <c r="H10" s="29"/>
      <c r="I10" s="29"/>
    </row>
    <row r="11" ht="14.25" customHeight="1">
      <c r="A11" s="22" t="s">
        <v>17</v>
      </c>
      <c r="B11" s="22" t="s">
        <v>18</v>
      </c>
      <c r="C11" s="29">
        <v>98.36493561830325</v>
      </c>
      <c r="D11" s="29"/>
      <c r="E11" s="29"/>
      <c r="F11" s="29"/>
      <c r="G11" s="29"/>
      <c r="H11" s="29"/>
      <c r="I11" s="29">
        <v>0.8</v>
      </c>
    </row>
    <row r="12" ht="14.25" customHeight="1">
      <c r="A12" s="22" t="s">
        <v>19</v>
      </c>
      <c r="B12" s="22" t="s">
        <v>20</v>
      </c>
      <c r="C12" s="29"/>
      <c r="D12" s="29">
        <v>3.2</v>
      </c>
      <c r="E12" s="29">
        <v>44.128182215367026</v>
      </c>
      <c r="F12" s="29">
        <v>0.07212619096383799</v>
      </c>
      <c r="G12" s="29"/>
      <c r="H12" s="29">
        <v>0.98</v>
      </c>
      <c r="I12" s="29">
        <v>2.7</v>
      </c>
    </row>
    <row r="13" ht="14.25" customHeight="1">
      <c r="A13" s="22" t="s">
        <v>21</v>
      </c>
      <c r="B13" s="22" t="s">
        <v>22</v>
      </c>
      <c r="C13" s="29">
        <v>99.0</v>
      </c>
      <c r="D13" s="29">
        <v>2.5</v>
      </c>
      <c r="E13" s="29">
        <v>0.023653369038869998</v>
      </c>
      <c r="F13" s="29">
        <v>0.10509888222657633</v>
      </c>
      <c r="G13" s="29">
        <v>99.7886123657227</v>
      </c>
      <c r="H13" s="29">
        <v>0.95</v>
      </c>
      <c r="I13" s="29">
        <v>3.7</v>
      </c>
    </row>
    <row r="14" ht="14.25" customHeight="1">
      <c r="A14" s="22" t="s">
        <v>23</v>
      </c>
      <c r="B14" s="22" t="s">
        <v>24</v>
      </c>
      <c r="C14" s="29"/>
      <c r="D14" s="29"/>
      <c r="E14" s="29"/>
      <c r="F14" s="29"/>
      <c r="G14" s="29">
        <v>97.9899978637695</v>
      </c>
      <c r="H14" s="29"/>
      <c r="I14" s="29"/>
    </row>
    <row r="15" ht="14.25" customHeight="1">
      <c r="A15" s="22" t="s">
        <v>25</v>
      </c>
      <c r="B15" s="22" t="s">
        <v>26</v>
      </c>
      <c r="C15" s="29">
        <v>99.0</v>
      </c>
      <c r="D15" s="29">
        <v>2.5</v>
      </c>
      <c r="E15" s="29"/>
      <c r="F15" s="29"/>
      <c r="G15" s="29"/>
      <c r="H15" s="29">
        <v>0.97</v>
      </c>
      <c r="I15" s="29">
        <v>1.6</v>
      </c>
    </row>
    <row r="16" ht="14.25" customHeight="1">
      <c r="A16" s="22" t="s">
        <v>27</v>
      </c>
      <c r="B16" s="22" t="s">
        <v>28</v>
      </c>
      <c r="C16" s="29">
        <v>99.0</v>
      </c>
      <c r="D16" s="29">
        <v>2.5</v>
      </c>
      <c r="E16" s="29"/>
      <c r="F16" s="29"/>
      <c r="G16" s="29"/>
      <c r="H16" s="29">
        <v>0.97</v>
      </c>
      <c r="I16" s="29">
        <v>4.6</v>
      </c>
    </row>
    <row r="17" ht="14.25" customHeight="1">
      <c r="A17" s="22" t="s">
        <v>29</v>
      </c>
      <c r="B17" s="22" t="s">
        <v>30</v>
      </c>
      <c r="C17" s="29">
        <v>97.6421868392552</v>
      </c>
      <c r="D17" s="29">
        <v>2.5</v>
      </c>
      <c r="E17" s="29"/>
      <c r="F17" s="29">
        <v>0.058191989844597426</v>
      </c>
      <c r="G17" s="29">
        <v>99.7959823608398</v>
      </c>
      <c r="H17" s="29">
        <v>0.94</v>
      </c>
      <c r="I17" s="29">
        <v>6.7</v>
      </c>
    </row>
    <row r="18" ht="14.25" customHeight="1">
      <c r="A18" s="22" t="s">
        <v>31</v>
      </c>
      <c r="B18" s="22" t="s">
        <v>32</v>
      </c>
      <c r="C18" s="29"/>
      <c r="D18" s="29"/>
      <c r="E18" s="29"/>
      <c r="F18" s="29">
        <v>0.09312655056119479</v>
      </c>
      <c r="G18" s="29"/>
      <c r="H18" s="29"/>
      <c r="I18" s="29">
        <v>3.4</v>
      </c>
    </row>
    <row r="19" ht="14.25" customHeight="1">
      <c r="A19" s="22" t="s">
        <v>33</v>
      </c>
      <c r="B19" s="22" t="s">
        <v>34</v>
      </c>
      <c r="C19" s="29">
        <v>99.0</v>
      </c>
      <c r="D19" s="29"/>
      <c r="E19" s="29"/>
      <c r="F19" s="29">
        <v>0.013826775962034242</v>
      </c>
      <c r="G19" s="29">
        <v>97.8724822998047</v>
      </c>
      <c r="H19" s="29">
        <v>0.96</v>
      </c>
      <c r="I19" s="29">
        <v>6.5</v>
      </c>
    </row>
    <row r="20" ht="14.25" customHeight="1">
      <c r="A20" s="22" t="s">
        <v>35</v>
      </c>
      <c r="B20" s="22" t="s">
        <v>36</v>
      </c>
      <c r="C20" s="29">
        <v>98.09706298490782</v>
      </c>
      <c r="D20" s="29">
        <v>11.2</v>
      </c>
      <c r="E20" s="29">
        <v>23.32969080030297</v>
      </c>
      <c r="F20" s="29">
        <v>0.3691942252003765</v>
      </c>
      <c r="G20" s="29">
        <v>76.3628768920898</v>
      </c>
      <c r="H20" s="29">
        <v>0.96</v>
      </c>
      <c r="I20" s="29">
        <v>5.1</v>
      </c>
    </row>
    <row r="21" ht="14.25" customHeight="1">
      <c r="A21" s="22" t="s">
        <v>37</v>
      </c>
      <c r="B21" s="22" t="s">
        <v>38</v>
      </c>
      <c r="C21" s="29">
        <v>98.51445041861956</v>
      </c>
      <c r="D21" s="29">
        <v>2.5</v>
      </c>
      <c r="E21" s="29">
        <v>0.27098889809081</v>
      </c>
      <c r="F21" s="29">
        <v>0.14145257831622685</v>
      </c>
      <c r="G21" s="29"/>
      <c r="H21" s="29">
        <v>0.97</v>
      </c>
      <c r="I21" s="29">
        <v>0.7</v>
      </c>
    </row>
    <row r="22" ht="14.25" customHeight="1">
      <c r="A22" s="22" t="s">
        <v>39</v>
      </c>
      <c r="B22" s="22" t="s">
        <v>40</v>
      </c>
      <c r="C22" s="29">
        <v>99.0</v>
      </c>
      <c r="D22" s="29">
        <v>2.5</v>
      </c>
      <c r="E22" s="29"/>
      <c r="F22" s="29">
        <v>0.037052504826535236</v>
      </c>
      <c r="G22" s="29">
        <v>99.8740005493164</v>
      </c>
      <c r="H22" s="29">
        <v>0.98</v>
      </c>
      <c r="I22" s="29">
        <v>6.2</v>
      </c>
    </row>
    <row r="23" ht="14.25" customHeight="1">
      <c r="A23" s="22" t="s">
        <v>41</v>
      </c>
      <c r="B23" s="22" t="s">
        <v>42</v>
      </c>
      <c r="C23" s="29">
        <v>99.0</v>
      </c>
      <c r="D23" s="29">
        <v>2.5</v>
      </c>
      <c r="E23" s="29"/>
      <c r="F23" s="29"/>
      <c r="G23" s="29"/>
      <c r="H23" s="29">
        <v>0.97</v>
      </c>
      <c r="I23" s="29">
        <v>3.6</v>
      </c>
    </row>
    <row r="24" ht="14.25" customHeight="1">
      <c r="A24" s="22" t="s">
        <v>43</v>
      </c>
      <c r="B24" s="22" t="s">
        <v>44</v>
      </c>
      <c r="C24" s="29">
        <v>98.40523412324544</v>
      </c>
      <c r="D24" s="29">
        <v>4.9</v>
      </c>
      <c r="E24" s="29">
        <v>2.84914777677963</v>
      </c>
      <c r="F24" s="29">
        <v>0.32828070249281827</v>
      </c>
      <c r="G24" s="29"/>
      <c r="H24" s="29">
        <v>0.98</v>
      </c>
      <c r="I24" s="29">
        <v>1.4</v>
      </c>
    </row>
    <row r="25" ht="14.25" customHeight="1">
      <c r="A25" s="22" t="s">
        <v>45</v>
      </c>
      <c r="B25" s="22" t="s">
        <v>46</v>
      </c>
      <c r="C25" s="29">
        <v>67.36026980616704</v>
      </c>
      <c r="D25" s="29">
        <v>9.9</v>
      </c>
      <c r="E25" s="29">
        <v>42.913766437814246</v>
      </c>
      <c r="F25" s="29">
        <v>0.42626803627792503</v>
      </c>
      <c r="G25" s="29">
        <v>47.0999984741211</v>
      </c>
      <c r="H25" s="29">
        <v>0.97</v>
      </c>
      <c r="I25" s="29">
        <v>1.3</v>
      </c>
    </row>
    <row r="26" ht="14.25" customHeight="1">
      <c r="A26" s="22" t="s">
        <v>47</v>
      </c>
      <c r="B26" s="22" t="s">
        <v>48</v>
      </c>
      <c r="C26" s="29">
        <v>99.0</v>
      </c>
      <c r="D26" s="29"/>
      <c r="E26" s="29"/>
      <c r="F26" s="29"/>
      <c r="G26" s="29"/>
      <c r="H26" s="29"/>
      <c r="I26" s="29"/>
    </row>
    <row r="27" ht="14.25" customHeight="1">
      <c r="A27" s="22" t="s">
        <v>49</v>
      </c>
      <c r="B27" s="22" t="s">
        <v>50</v>
      </c>
      <c r="C27" s="29">
        <v>99.0</v>
      </c>
      <c r="D27" s="29"/>
      <c r="E27" s="29"/>
      <c r="F27" s="29">
        <v>0.08899329046556997</v>
      </c>
      <c r="G27" s="29">
        <v>72.0999984741211</v>
      </c>
      <c r="H27" s="29">
        <v>0.96</v>
      </c>
      <c r="I27" s="29">
        <v>4.4</v>
      </c>
    </row>
    <row r="28" ht="14.25" customHeight="1">
      <c r="A28" s="22" t="s">
        <v>51</v>
      </c>
      <c r="B28" s="22" t="s">
        <v>52</v>
      </c>
      <c r="C28" s="29">
        <v>94.11337038361637</v>
      </c>
      <c r="D28" s="29">
        <v>19.4</v>
      </c>
      <c r="E28" s="29">
        <v>7.500016588179929</v>
      </c>
      <c r="F28" s="29">
        <v>0.08161024948059291</v>
      </c>
      <c r="G28" s="29">
        <v>93.8525619506836</v>
      </c>
      <c r="H28" s="29">
        <v>0.96</v>
      </c>
      <c r="I28" s="29">
        <v>0.9</v>
      </c>
    </row>
    <row r="29" ht="14.25" customHeight="1">
      <c r="A29" s="22" t="s">
        <v>53</v>
      </c>
      <c r="B29" s="22" t="s">
        <v>54</v>
      </c>
      <c r="C29" s="29">
        <v>99.0</v>
      </c>
      <c r="D29" s="29"/>
      <c r="E29" s="29"/>
      <c r="F29" s="29"/>
      <c r="G29" s="29"/>
      <c r="H29" s="29"/>
      <c r="I29" s="29"/>
    </row>
    <row r="30" ht="14.25" customHeight="1">
      <c r="A30" s="22" t="s">
        <v>55</v>
      </c>
      <c r="B30" s="22" t="s">
        <v>56</v>
      </c>
      <c r="C30" s="29">
        <v>96.09347421866396</v>
      </c>
      <c r="D30" s="29">
        <v>2.5</v>
      </c>
      <c r="E30" s="29">
        <v>0.04973027022472999</v>
      </c>
      <c r="F30" s="29">
        <v>0.10700598220464005</v>
      </c>
      <c r="G30" s="29">
        <v>98.3000030517578</v>
      </c>
      <c r="H30" s="29">
        <v>0.98</v>
      </c>
      <c r="I30" s="29">
        <v>3.3</v>
      </c>
    </row>
    <row r="31" ht="14.25" customHeight="1">
      <c r="A31" s="22" t="s">
        <v>57</v>
      </c>
      <c r="B31" s="22" t="s">
        <v>58</v>
      </c>
      <c r="C31" s="29">
        <v>92.56756198784339</v>
      </c>
      <c r="D31" s="29">
        <v>22.9</v>
      </c>
      <c r="E31" s="29">
        <v>9.056361618896549</v>
      </c>
      <c r="F31" s="29">
        <v>0.4365380655403494</v>
      </c>
      <c r="G31" s="29">
        <v>86.8231811523438</v>
      </c>
      <c r="H31" s="29">
        <v>0.98</v>
      </c>
      <c r="I31" s="29">
        <v>1.6</v>
      </c>
    </row>
    <row r="32" ht="14.25" customHeight="1">
      <c r="A32" s="22" t="s">
        <v>59</v>
      </c>
      <c r="B32" s="22" t="s">
        <v>60</v>
      </c>
      <c r="C32" s="29">
        <v>99.0</v>
      </c>
      <c r="D32" s="29">
        <v>4.7</v>
      </c>
      <c r="E32" s="29">
        <v>0.56737738356348</v>
      </c>
      <c r="F32" s="29">
        <v>0.12952283822993754</v>
      </c>
      <c r="G32" s="29">
        <v>94.6900024414062</v>
      </c>
      <c r="H32" s="29">
        <v>0.98</v>
      </c>
      <c r="I32" s="29">
        <v>2.5</v>
      </c>
    </row>
    <row r="33" ht="14.25" customHeight="1">
      <c r="A33" s="22" t="s">
        <v>61</v>
      </c>
      <c r="B33" s="22" t="s">
        <v>62</v>
      </c>
      <c r="C33" s="29">
        <v>99.0</v>
      </c>
      <c r="D33" s="29"/>
      <c r="E33" s="29"/>
      <c r="F33" s="29"/>
      <c r="G33" s="29"/>
      <c r="H33" s="29"/>
      <c r="I33" s="29"/>
    </row>
    <row r="34" ht="14.25" customHeight="1">
      <c r="A34" s="22" t="s">
        <v>63</v>
      </c>
      <c r="B34" s="22" t="s">
        <v>64</v>
      </c>
      <c r="C34" s="29">
        <v>99.0</v>
      </c>
      <c r="D34" s="29"/>
      <c r="E34" s="29"/>
      <c r="F34" s="29"/>
      <c r="G34" s="29">
        <v>97.5899963378906</v>
      </c>
      <c r="H34" s="29">
        <v>0.97</v>
      </c>
      <c r="I34" s="29">
        <v>6.5</v>
      </c>
    </row>
    <row r="35" ht="14.25" customHeight="1">
      <c r="A35" s="22" t="s">
        <v>65</v>
      </c>
      <c r="B35" s="22" t="s">
        <v>66</v>
      </c>
      <c r="C35" s="29">
        <v>99.0</v>
      </c>
      <c r="D35" s="29">
        <v>2.5</v>
      </c>
      <c r="E35" s="29"/>
      <c r="F35" s="29"/>
      <c r="G35" s="29">
        <v>98.4199981689453</v>
      </c>
      <c r="H35" s="29">
        <v>0.98</v>
      </c>
      <c r="I35" s="29">
        <v>4.7</v>
      </c>
    </row>
    <row r="36" ht="14.25" customHeight="1">
      <c r="A36" s="22" t="s">
        <v>67</v>
      </c>
      <c r="B36" s="22" t="s">
        <v>68</v>
      </c>
      <c r="C36" s="29">
        <v>49.50587416487559</v>
      </c>
      <c r="D36" s="29">
        <v>16.2</v>
      </c>
      <c r="E36" s="29"/>
      <c r="F36" s="29">
        <v>0.5935231425098453</v>
      </c>
      <c r="G36" s="29">
        <v>34.4900016784668</v>
      </c>
      <c r="H36" s="29">
        <v>0.98</v>
      </c>
      <c r="I36" s="29">
        <v>3.0</v>
      </c>
    </row>
    <row r="37" ht="14.25" customHeight="1">
      <c r="A37" s="22" t="s">
        <v>69</v>
      </c>
      <c r="B37" s="22" t="s">
        <v>70</v>
      </c>
      <c r="C37" s="29">
        <v>62.44097549077742</v>
      </c>
      <c r="D37" s="29"/>
      <c r="E37" s="29">
        <v>70.60277987563173</v>
      </c>
      <c r="F37" s="29">
        <v>0.8902956115588415</v>
      </c>
      <c r="G37" s="29">
        <v>75.5400009155273</v>
      </c>
      <c r="H37" s="29">
        <v>0.98</v>
      </c>
      <c r="I37" s="29">
        <v>3.3</v>
      </c>
    </row>
    <row r="38" ht="14.25" customHeight="1">
      <c r="A38" s="22" t="s">
        <v>71</v>
      </c>
      <c r="B38" s="22" t="s">
        <v>72</v>
      </c>
      <c r="C38" s="29">
        <v>89.8707246052462</v>
      </c>
      <c r="D38" s="29">
        <v>18.2</v>
      </c>
      <c r="E38" s="29"/>
      <c r="F38" s="29">
        <v>0.18140341059242332</v>
      </c>
      <c r="G38" s="29">
        <v>91.0</v>
      </c>
      <c r="H38" s="29">
        <v>0.97</v>
      </c>
      <c r="I38" s="29">
        <v>0.8</v>
      </c>
    </row>
    <row r="39" ht="14.25" customHeight="1">
      <c r="A39" s="22" t="s">
        <v>73</v>
      </c>
      <c r="B39" s="22" t="s">
        <v>74</v>
      </c>
      <c r="C39" s="29">
        <v>78.00650418016536</v>
      </c>
      <c r="D39" s="29">
        <v>4.8</v>
      </c>
      <c r="E39" s="29">
        <v>4.59524754181045</v>
      </c>
      <c r="F39" s="29">
        <v>0.5417706337032713</v>
      </c>
      <c r="G39" s="29">
        <v>83.7799987792969</v>
      </c>
      <c r="H39" s="29">
        <v>0.98</v>
      </c>
      <c r="I39" s="29">
        <v>3.4</v>
      </c>
    </row>
    <row r="40" ht="14.25" customHeight="1">
      <c r="A40" s="22" t="s">
        <v>75</v>
      </c>
      <c r="B40" s="22" t="s">
        <v>76</v>
      </c>
      <c r="C40" s="29">
        <v>69.59255264093079</v>
      </c>
      <c r="D40" s="29">
        <v>6.4</v>
      </c>
      <c r="E40" s="29">
        <v>36.97701205544089</v>
      </c>
      <c r="F40" s="29">
        <v>0.4204896106237337</v>
      </c>
      <c r="G40" s="29">
        <v>78.2300033569336</v>
      </c>
      <c r="H40" s="29">
        <v>0.98</v>
      </c>
      <c r="I40" s="29">
        <v>2.6</v>
      </c>
    </row>
    <row r="41" ht="14.25" customHeight="1">
      <c r="A41" s="22" t="s">
        <v>77</v>
      </c>
      <c r="B41" s="22" t="s">
        <v>78</v>
      </c>
      <c r="C41" s="29">
        <v>99.0</v>
      </c>
      <c r="D41" s="29">
        <v>2.5</v>
      </c>
      <c r="E41" s="29"/>
      <c r="F41" s="29"/>
      <c r="G41" s="29"/>
      <c r="H41" s="29">
        <v>0.97</v>
      </c>
      <c r="I41" s="29">
        <v>2.1</v>
      </c>
    </row>
    <row r="42" ht="14.25" customHeight="1">
      <c r="A42" s="22" t="s">
        <v>79</v>
      </c>
      <c r="B42" s="22" t="s">
        <v>80</v>
      </c>
      <c r="C42" s="29">
        <v>95.49785276073621</v>
      </c>
      <c r="D42" s="29"/>
      <c r="E42" s="29"/>
      <c r="F42" s="29"/>
      <c r="G42" s="29">
        <v>98.8678207397461</v>
      </c>
      <c r="H42" s="29"/>
      <c r="I42" s="29"/>
    </row>
    <row r="43" ht="14.25" customHeight="1">
      <c r="A43" s="22" t="s">
        <v>81</v>
      </c>
      <c r="B43" s="22" t="s">
        <v>82</v>
      </c>
      <c r="C43" s="29">
        <v>36.29504358147392</v>
      </c>
      <c r="D43" s="29">
        <v>48.7</v>
      </c>
      <c r="E43" s="29">
        <v>75.45230514005522</v>
      </c>
      <c r="F43" s="29">
        <v>0.8785018348181216</v>
      </c>
      <c r="G43" s="29">
        <v>37.4900016784668</v>
      </c>
      <c r="H43" s="29"/>
      <c r="I43" s="29">
        <v>3.5</v>
      </c>
    </row>
    <row r="44" ht="14.25" customHeight="1">
      <c r="A44" s="22" t="s">
        <v>83</v>
      </c>
      <c r="B44" s="22" t="s">
        <v>84</v>
      </c>
      <c r="C44" s="29">
        <v>51.99515251513739</v>
      </c>
      <c r="D44" s="29">
        <v>31.4</v>
      </c>
      <c r="E44" s="29">
        <v>80.36014215831165</v>
      </c>
      <c r="F44" s="29">
        <v>0.6738690813872863</v>
      </c>
      <c r="G44" s="29">
        <v>27.2800006866455</v>
      </c>
      <c r="H44" s="29">
        <v>0.97</v>
      </c>
      <c r="I44" s="29">
        <v>4.6</v>
      </c>
    </row>
    <row r="45" ht="14.25" customHeight="1">
      <c r="A45" s="22" t="s">
        <v>85</v>
      </c>
      <c r="B45" s="22" t="s">
        <v>86</v>
      </c>
      <c r="C45" s="29">
        <v>99.0</v>
      </c>
      <c r="D45" s="29">
        <v>2.5</v>
      </c>
      <c r="E45" s="29"/>
      <c r="F45" s="29">
        <v>0.09535326345513732</v>
      </c>
      <c r="G45" s="29">
        <v>97.1600036621094</v>
      </c>
      <c r="H45" s="29">
        <v>0.97</v>
      </c>
      <c r="I45" s="29">
        <v>1.5</v>
      </c>
    </row>
    <row r="46" ht="14.25" customHeight="1">
      <c r="A46" s="22" t="s">
        <v>87</v>
      </c>
      <c r="B46" s="22" t="s">
        <v>88</v>
      </c>
      <c r="C46" s="29">
        <v>97.64692955325317</v>
      </c>
      <c r="D46" s="29">
        <v>2.5</v>
      </c>
      <c r="E46" s="29"/>
      <c r="F46" s="29">
        <v>0.04052360421121722</v>
      </c>
      <c r="G46" s="29">
        <v>96.7395172119141</v>
      </c>
      <c r="H46" s="29">
        <v>0.94</v>
      </c>
      <c r="I46" s="29">
        <v>9.1</v>
      </c>
    </row>
    <row r="47" ht="14.25" customHeight="1">
      <c r="A47" s="22" t="s">
        <v>89</v>
      </c>
      <c r="B47" s="22" t="s">
        <v>90</v>
      </c>
      <c r="C47" s="29">
        <v>99.0</v>
      </c>
      <c r="D47" s="29">
        <v>2.5</v>
      </c>
      <c r="E47" s="29"/>
      <c r="F47" s="29"/>
      <c r="G47" s="29"/>
      <c r="H47" s="29"/>
      <c r="I47" s="29">
        <v>3.8</v>
      </c>
    </row>
    <row r="48" ht="14.25" customHeight="1">
      <c r="A48" s="22" t="s">
        <v>91</v>
      </c>
      <c r="B48" s="22" t="s">
        <v>92</v>
      </c>
      <c r="C48" s="29">
        <v>99.0</v>
      </c>
      <c r="D48" s="29">
        <v>8.0</v>
      </c>
      <c r="E48" s="29"/>
      <c r="F48" s="29">
        <v>0.06487498823580519</v>
      </c>
      <c r="G48" s="29">
        <v>97.1100006103516</v>
      </c>
      <c r="H48" s="29"/>
      <c r="I48" s="29">
        <v>0.4</v>
      </c>
    </row>
    <row r="49" ht="14.25" customHeight="1">
      <c r="A49" s="22" t="s">
        <v>553</v>
      </c>
      <c r="B49" s="22" t="s">
        <v>473</v>
      </c>
      <c r="C49" s="29"/>
      <c r="D49" s="29">
        <v>3.0</v>
      </c>
      <c r="E49" s="29"/>
      <c r="F49" s="29">
        <v>0.03914011032207757</v>
      </c>
      <c r="G49" s="29"/>
      <c r="H49" s="29"/>
      <c r="I49" s="29">
        <v>1.0</v>
      </c>
    </row>
    <row r="50" ht="14.25" customHeight="1">
      <c r="A50" s="22" t="s">
        <v>93</v>
      </c>
      <c r="B50" s="22" t="s">
        <v>94</v>
      </c>
      <c r="C50" s="29">
        <v>97.5377603878354</v>
      </c>
      <c r="D50" s="29">
        <v>6.6</v>
      </c>
      <c r="E50" s="29">
        <v>3.96764905781173</v>
      </c>
      <c r="F50" s="29">
        <v>0.17650220639294986</v>
      </c>
      <c r="G50" s="29">
        <v>95.6363296508789</v>
      </c>
      <c r="H50" s="29">
        <v>0.98</v>
      </c>
      <c r="I50" s="29">
        <v>2.1</v>
      </c>
    </row>
    <row r="51" ht="14.25" customHeight="1">
      <c r="A51" s="22" t="s">
        <v>95</v>
      </c>
      <c r="B51" s="22" t="s">
        <v>96</v>
      </c>
      <c r="C51" s="29"/>
      <c r="D51" s="29">
        <v>13.5</v>
      </c>
      <c r="E51" s="29">
        <v>23.734122602960632</v>
      </c>
      <c r="F51" s="29">
        <v>0.3586802593414093</v>
      </c>
      <c r="G51" s="29">
        <v>61.7099990844727</v>
      </c>
      <c r="H51" s="29">
        <v>0.97</v>
      </c>
      <c r="I51" s="29">
        <v>4.5</v>
      </c>
    </row>
    <row r="52" ht="14.25" customHeight="1">
      <c r="A52" s="22" t="s">
        <v>97</v>
      </c>
      <c r="B52" s="22" t="s">
        <v>98</v>
      </c>
      <c r="C52" s="29"/>
      <c r="D52" s="29">
        <v>33.3</v>
      </c>
      <c r="E52" s="29">
        <v>19.288222987902152</v>
      </c>
      <c r="F52" s="29">
        <v>0.7881938349618708</v>
      </c>
      <c r="G52" s="29">
        <v>80.6100006103516</v>
      </c>
      <c r="H52" s="29"/>
      <c r="I52" s="29">
        <v>1.5</v>
      </c>
    </row>
    <row r="53" ht="14.25" customHeight="1">
      <c r="A53" s="22" t="s">
        <v>99</v>
      </c>
      <c r="B53" s="22" t="s">
        <v>100</v>
      </c>
      <c r="C53" s="29">
        <v>99.0</v>
      </c>
      <c r="D53" s="29"/>
      <c r="E53" s="29"/>
      <c r="F53" s="29"/>
      <c r="G53" s="29"/>
      <c r="H53" s="29"/>
      <c r="I53" s="29"/>
    </row>
    <row r="54" ht="14.25" customHeight="1">
      <c r="A54" s="22" t="s">
        <v>101</v>
      </c>
      <c r="B54" s="22" t="s">
        <v>102</v>
      </c>
      <c r="C54" s="29">
        <v>99.0</v>
      </c>
      <c r="D54" s="29">
        <v>3.0</v>
      </c>
      <c r="E54" s="29">
        <v>0.23872917685904</v>
      </c>
      <c r="F54" s="29">
        <v>0.0949386094726782</v>
      </c>
      <c r="G54" s="29">
        <v>98.0400009155273</v>
      </c>
      <c r="H54" s="29">
        <v>0.97</v>
      </c>
      <c r="I54" s="29">
        <v>2.7</v>
      </c>
    </row>
    <row r="55" ht="14.25" customHeight="1">
      <c r="A55" s="22" t="s">
        <v>103</v>
      </c>
      <c r="B55" s="22" t="s">
        <v>104</v>
      </c>
      <c r="C55" s="29">
        <v>72.85092565059834</v>
      </c>
      <c r="D55" s="29">
        <v>7.7</v>
      </c>
      <c r="E55" s="29">
        <v>24.13478656586841</v>
      </c>
      <c r="F55" s="29">
        <v>0.344285738542657</v>
      </c>
      <c r="G55" s="29">
        <v>89.8934173583984</v>
      </c>
      <c r="H55" s="29">
        <v>0.96</v>
      </c>
      <c r="I55" s="29">
        <v>1.2</v>
      </c>
    </row>
    <row r="56" ht="14.25" customHeight="1">
      <c r="A56" s="22" t="s">
        <v>105</v>
      </c>
      <c r="B56" s="22" t="s">
        <v>106</v>
      </c>
      <c r="C56" s="29"/>
      <c r="D56" s="29">
        <v>2.5</v>
      </c>
      <c r="E56" s="29"/>
      <c r="F56" s="29"/>
      <c r="G56" s="29">
        <v>99.4499969482422</v>
      </c>
      <c r="H56" s="29"/>
      <c r="I56" s="29">
        <v>3.4</v>
      </c>
    </row>
    <row r="57" ht="14.25" customHeight="1">
      <c r="A57" s="22" t="s">
        <v>107</v>
      </c>
      <c r="B57" s="22" t="s">
        <v>108</v>
      </c>
      <c r="C57" s="29">
        <v>94.65270391562143</v>
      </c>
      <c r="D57" s="29">
        <v>2.5</v>
      </c>
      <c r="E57" s="29">
        <v>0.66219679967257</v>
      </c>
      <c r="F57" s="29"/>
      <c r="G57" s="29">
        <v>99.6731109619141</v>
      </c>
      <c r="H57" s="29"/>
      <c r="I57" s="29">
        <v>5.3</v>
      </c>
    </row>
    <row r="58" ht="14.25" customHeight="1">
      <c r="A58" s="22" t="s">
        <v>109</v>
      </c>
      <c r="B58" s="22" t="s">
        <v>110</v>
      </c>
      <c r="C58" s="29"/>
      <c r="D58" s="29"/>
      <c r="E58" s="29"/>
      <c r="F58" s="29"/>
      <c r="G58" s="29"/>
      <c r="H58" s="29"/>
      <c r="I58" s="29"/>
    </row>
    <row r="59" ht="14.25" customHeight="1">
      <c r="A59" s="22" t="s">
        <v>111</v>
      </c>
      <c r="B59" s="22" t="s">
        <v>112</v>
      </c>
      <c r="C59" s="29">
        <v>99.0</v>
      </c>
      <c r="D59" s="29">
        <v>2.5</v>
      </c>
      <c r="E59" s="29"/>
      <c r="F59" s="29"/>
      <c r="G59" s="29">
        <v>99.3600006103516</v>
      </c>
      <c r="H59" s="29">
        <v>0.98</v>
      </c>
      <c r="I59" s="29">
        <v>4.1</v>
      </c>
    </row>
    <row r="60" ht="14.25" customHeight="1">
      <c r="A60" s="22" t="s">
        <v>113</v>
      </c>
      <c r="B60" s="22" t="s">
        <v>114</v>
      </c>
      <c r="C60" s="29">
        <v>99.0</v>
      </c>
      <c r="D60" s="29">
        <v>2.5</v>
      </c>
      <c r="E60" s="29"/>
      <c r="F60" s="29"/>
      <c r="G60" s="29"/>
      <c r="H60" s="29">
        <v>0.98</v>
      </c>
      <c r="I60" s="29">
        <v>2.3</v>
      </c>
    </row>
    <row r="61" ht="14.25" customHeight="1">
      <c r="A61" s="22" t="s">
        <v>115</v>
      </c>
      <c r="B61" s="22" t="s">
        <v>116</v>
      </c>
      <c r="C61" s="29">
        <v>93.88750192714511</v>
      </c>
      <c r="D61" s="29">
        <v>45.5</v>
      </c>
      <c r="E61" s="29"/>
      <c r="F61" s="29"/>
      <c r="G61" s="29">
        <v>99.9981918334961</v>
      </c>
      <c r="H61" s="29"/>
      <c r="I61" s="29"/>
    </row>
    <row r="62" ht="14.25" customHeight="1">
      <c r="A62" s="22" t="s">
        <v>117</v>
      </c>
      <c r="B62" s="22" t="s">
        <v>118</v>
      </c>
      <c r="C62" s="29">
        <v>35.11656657990258</v>
      </c>
      <c r="D62" s="29">
        <v>35.3</v>
      </c>
      <c r="E62" s="29">
        <v>59.239377040329934</v>
      </c>
      <c r="F62" s="29">
        <v>0.8166023059258467</v>
      </c>
      <c r="G62" s="29">
        <v>80.5400009155273</v>
      </c>
      <c r="H62" s="29">
        <v>0.98</v>
      </c>
      <c r="I62" s="29">
        <v>1.2</v>
      </c>
    </row>
    <row r="63" ht="14.25" customHeight="1">
      <c r="A63" s="22" t="s">
        <v>119</v>
      </c>
      <c r="B63" s="22" t="s">
        <v>120</v>
      </c>
      <c r="C63" s="29">
        <v>99.0</v>
      </c>
      <c r="D63" s="29">
        <v>2.5</v>
      </c>
      <c r="E63" s="29"/>
      <c r="F63" s="29"/>
      <c r="G63" s="29"/>
      <c r="H63" s="29">
        <v>0.96</v>
      </c>
      <c r="I63" s="29">
        <v>4.4</v>
      </c>
    </row>
    <row r="64" ht="14.25" customHeight="1">
      <c r="A64" s="22" t="s">
        <v>121</v>
      </c>
      <c r="B64" s="22" t="s">
        <v>122</v>
      </c>
      <c r="C64" s="29">
        <v>76.16711707975473</v>
      </c>
      <c r="D64" s="29">
        <v>16.8</v>
      </c>
      <c r="E64" s="29"/>
      <c r="F64" s="29"/>
      <c r="G64" s="29"/>
      <c r="H64" s="29"/>
      <c r="I64" s="29">
        <v>3.7</v>
      </c>
    </row>
    <row r="65" ht="14.25" customHeight="1">
      <c r="A65" s="22" t="s">
        <v>123</v>
      </c>
      <c r="B65" s="22" t="s">
        <v>124</v>
      </c>
      <c r="C65" s="29"/>
      <c r="D65" s="29">
        <v>6.7</v>
      </c>
      <c r="E65" s="29"/>
      <c r="F65" s="29"/>
      <c r="G65" s="29"/>
      <c r="H65" s="29"/>
      <c r="I65" s="29">
        <v>2.4</v>
      </c>
    </row>
    <row r="66" ht="14.25" customHeight="1">
      <c r="A66" s="22" t="s">
        <v>125</v>
      </c>
      <c r="B66" s="22" t="s">
        <v>126</v>
      </c>
      <c r="C66" s="29">
        <v>96.75452434228042</v>
      </c>
      <c r="D66" s="29">
        <v>6.3</v>
      </c>
      <c r="E66" s="29">
        <v>0.23872917685904</v>
      </c>
      <c r="F66" s="29">
        <v>0.07976714980328603</v>
      </c>
      <c r="G66" s="29">
        <v>95.5</v>
      </c>
      <c r="H66" s="29">
        <v>0.98</v>
      </c>
      <c r="I66" s="29">
        <v>1.6</v>
      </c>
    </row>
    <row r="67" ht="14.25" customHeight="1">
      <c r="A67" s="22" t="s">
        <v>127</v>
      </c>
      <c r="B67" s="22" t="s">
        <v>128</v>
      </c>
      <c r="C67" s="29">
        <v>95.70334323140167</v>
      </c>
      <c r="D67" s="29">
        <v>13.9</v>
      </c>
      <c r="E67" s="29">
        <v>0.66219679967257</v>
      </c>
      <c r="F67" s="29">
        <v>0.117721307187661</v>
      </c>
      <c r="G67" s="29">
        <v>93.9481201171875</v>
      </c>
      <c r="H67" s="29">
        <v>0.97</v>
      </c>
      <c r="I67" s="29">
        <v>1.6</v>
      </c>
    </row>
    <row r="68" ht="14.25" customHeight="1">
      <c r="A68" s="22" t="s">
        <v>129</v>
      </c>
      <c r="B68" s="22" t="s">
        <v>130</v>
      </c>
      <c r="C68" s="29">
        <v>98.76885789946998</v>
      </c>
      <c r="D68" s="29">
        <v>7.2</v>
      </c>
      <c r="E68" s="29">
        <v>0.7369922796549401</v>
      </c>
      <c r="F68" s="29">
        <v>0.19074702687678616</v>
      </c>
      <c r="G68" s="29">
        <v>74.5</v>
      </c>
      <c r="H68" s="29">
        <v>0.97</v>
      </c>
      <c r="I68" s="29">
        <v>7.6</v>
      </c>
    </row>
    <row r="69" ht="14.25" customHeight="1">
      <c r="A69" s="22" t="s">
        <v>131</v>
      </c>
      <c r="B69" s="22" t="s">
        <v>132</v>
      </c>
      <c r="C69" s="29">
        <v>98.59315998923782</v>
      </c>
      <c r="D69" s="29">
        <v>7.7</v>
      </c>
      <c r="E69" s="29">
        <v>6.07522340280115</v>
      </c>
      <c r="F69" s="29">
        <v>0.08276279410699057</v>
      </c>
      <c r="G69" s="29">
        <v>89.9845275878906</v>
      </c>
      <c r="H69" s="29">
        <v>0.98</v>
      </c>
      <c r="I69" s="29">
        <v>2.7</v>
      </c>
    </row>
    <row r="70" ht="14.25" customHeight="1">
      <c r="A70" s="22" t="s">
        <v>133</v>
      </c>
      <c r="B70" s="22" t="s">
        <v>134</v>
      </c>
      <c r="C70" s="29"/>
      <c r="D70" s="29"/>
      <c r="E70" s="29"/>
      <c r="F70" s="29">
        <v>0.6389500114745468</v>
      </c>
      <c r="G70" s="29"/>
      <c r="H70" s="29"/>
      <c r="I70" s="29">
        <v>3.6</v>
      </c>
    </row>
    <row r="71" ht="14.25" customHeight="1">
      <c r="A71" s="22" t="s">
        <v>135</v>
      </c>
      <c r="B71" s="22" t="s">
        <v>136</v>
      </c>
      <c r="C71" s="29"/>
      <c r="D71" s="29"/>
      <c r="E71" s="29"/>
      <c r="F71" s="29">
        <v>0.6221692073975121</v>
      </c>
      <c r="G71" s="29">
        <v>76.5705184936523</v>
      </c>
      <c r="H71" s="29"/>
      <c r="I71" s="29">
        <v>6.5</v>
      </c>
    </row>
    <row r="72" ht="14.25" customHeight="1">
      <c r="A72" s="22" t="s">
        <v>137</v>
      </c>
      <c r="B72" s="22" t="s">
        <v>138</v>
      </c>
      <c r="C72" s="29">
        <v>99.0</v>
      </c>
      <c r="D72" s="29">
        <v>2.5</v>
      </c>
      <c r="E72" s="29"/>
      <c r="F72" s="29"/>
      <c r="G72" s="29">
        <v>99.870002746582</v>
      </c>
      <c r="H72" s="29">
        <v>0.98</v>
      </c>
      <c r="I72" s="29">
        <v>1.3</v>
      </c>
    </row>
    <row r="73" ht="14.25" customHeight="1">
      <c r="A73" s="22" t="s">
        <v>139</v>
      </c>
      <c r="B73" s="22" t="s">
        <v>140</v>
      </c>
      <c r="C73" s="29">
        <v>73.46720192139584</v>
      </c>
      <c r="D73" s="29">
        <v>11.6</v>
      </c>
      <c r="E73" s="29">
        <v>8.770343994234029</v>
      </c>
      <c r="F73" s="29">
        <v>0.7289536439535699</v>
      </c>
      <c r="G73" s="29">
        <v>89.2799987792969</v>
      </c>
      <c r="H73" s="29">
        <v>0.98</v>
      </c>
      <c r="I73" s="29">
        <v>2.6</v>
      </c>
    </row>
    <row r="74" ht="14.25" customHeight="1">
      <c r="A74" s="22" t="s">
        <v>141</v>
      </c>
      <c r="B74" s="22" t="s">
        <v>142</v>
      </c>
      <c r="C74" s="29">
        <v>51.51295966432166</v>
      </c>
      <c r="D74" s="29">
        <v>21.9</v>
      </c>
      <c r="E74" s="29">
        <v>67.53307830814671</v>
      </c>
      <c r="F74" s="29">
        <v>0.4891055059168561</v>
      </c>
      <c r="G74" s="29">
        <v>51.7711791992188</v>
      </c>
      <c r="H74" s="29">
        <v>0.97</v>
      </c>
      <c r="I74" s="29">
        <v>3.9</v>
      </c>
    </row>
    <row r="75" ht="14.25" customHeight="1">
      <c r="A75" s="22" t="s">
        <v>143</v>
      </c>
      <c r="B75" s="22" t="s">
        <v>144</v>
      </c>
      <c r="C75" s="29"/>
      <c r="D75" s="29"/>
      <c r="E75" s="29"/>
      <c r="F75" s="29"/>
      <c r="G75" s="29"/>
      <c r="H75" s="29"/>
      <c r="I75" s="29"/>
    </row>
    <row r="76" ht="14.25" customHeight="1">
      <c r="A76" s="22" t="s">
        <v>145</v>
      </c>
      <c r="B76" s="22" t="s">
        <v>146</v>
      </c>
      <c r="C76" s="29">
        <v>99.0</v>
      </c>
      <c r="D76" s="29"/>
      <c r="E76" s="29"/>
      <c r="F76" s="29"/>
      <c r="G76" s="29"/>
      <c r="H76" s="29"/>
      <c r="I76" s="29"/>
    </row>
    <row r="77" ht="14.25" customHeight="1">
      <c r="A77" s="22" t="s">
        <v>147</v>
      </c>
      <c r="B77" s="22" t="s">
        <v>148</v>
      </c>
      <c r="C77" s="29">
        <v>95.4886326493094</v>
      </c>
      <c r="D77" s="29">
        <v>6.6</v>
      </c>
      <c r="E77" s="29">
        <v>0.90093495048031</v>
      </c>
      <c r="F77" s="29">
        <v>0.14606097076936866</v>
      </c>
      <c r="G77" s="29"/>
      <c r="H77" s="29">
        <v>0.97</v>
      </c>
      <c r="I77" s="29">
        <v>2.3</v>
      </c>
    </row>
    <row r="78" ht="14.25" customHeight="1">
      <c r="A78" s="22" t="s">
        <v>149</v>
      </c>
      <c r="B78" s="22" t="s">
        <v>150</v>
      </c>
      <c r="C78" s="29">
        <v>99.0</v>
      </c>
      <c r="D78" s="29">
        <v>2.5</v>
      </c>
      <c r="E78" s="29"/>
      <c r="F78" s="29"/>
      <c r="G78" s="29"/>
      <c r="H78" s="29">
        <v>0.97</v>
      </c>
      <c r="I78" s="29">
        <v>3.5</v>
      </c>
    </row>
    <row r="79" ht="14.25" customHeight="1">
      <c r="A79" s="22" t="s">
        <v>151</v>
      </c>
      <c r="B79" s="22" t="s">
        <v>152</v>
      </c>
      <c r="C79" s="29">
        <v>99.0</v>
      </c>
      <c r="D79" s="29">
        <v>2.5</v>
      </c>
      <c r="E79" s="29"/>
      <c r="F79" s="29"/>
      <c r="G79" s="29"/>
      <c r="H79" s="29">
        <v>0.97</v>
      </c>
      <c r="I79" s="29">
        <v>5.4</v>
      </c>
    </row>
    <row r="80" ht="14.25" customHeight="1">
      <c r="A80" s="22" t="s">
        <v>153</v>
      </c>
      <c r="B80" s="22" t="s">
        <v>154</v>
      </c>
      <c r="C80" s="29">
        <v>94.35883804812038</v>
      </c>
      <c r="D80" s="29"/>
      <c r="E80" s="29"/>
      <c r="F80" s="29"/>
      <c r="G80" s="29"/>
      <c r="H80" s="29"/>
      <c r="I80" s="29"/>
    </row>
    <row r="81" ht="14.25" customHeight="1">
      <c r="A81" s="22" t="s">
        <v>155</v>
      </c>
      <c r="B81" s="22" t="s">
        <v>156</v>
      </c>
      <c r="C81" s="29">
        <v>99.0</v>
      </c>
      <c r="D81" s="29">
        <v>5.1</v>
      </c>
      <c r="E81" s="29"/>
      <c r="F81" s="29"/>
      <c r="G81" s="29"/>
      <c r="H81" s="29"/>
      <c r="I81" s="29"/>
    </row>
    <row r="82" ht="14.25" customHeight="1">
      <c r="A82" s="22" t="s">
        <v>157</v>
      </c>
      <c r="B82" s="22" t="s">
        <v>158</v>
      </c>
      <c r="C82" s="29">
        <v>86.92776587677693</v>
      </c>
      <c r="D82" s="29">
        <v>23.0</v>
      </c>
      <c r="E82" s="29">
        <v>9.24344146998766</v>
      </c>
      <c r="F82" s="29">
        <v>0.23356318404830792</v>
      </c>
      <c r="G82" s="29">
        <v>85.6900024414062</v>
      </c>
      <c r="H82" s="29"/>
      <c r="I82" s="29">
        <v>0.8</v>
      </c>
    </row>
    <row r="83" ht="14.25" customHeight="1">
      <c r="A83" s="22" t="s">
        <v>159</v>
      </c>
      <c r="B83" s="22" t="s">
        <v>160</v>
      </c>
      <c r="C83" s="29">
        <v>85.6466129857002</v>
      </c>
      <c r="D83" s="29">
        <v>19.6</v>
      </c>
      <c r="E83" s="29">
        <v>9.24344146998765</v>
      </c>
      <c r="F83" s="29">
        <v>0.45147718947031684</v>
      </c>
      <c r="G83" s="29">
        <v>58.6699981689453</v>
      </c>
      <c r="H83" s="29">
        <v>0.97</v>
      </c>
      <c r="I83" s="29">
        <v>0.9</v>
      </c>
    </row>
    <row r="84" ht="14.25" customHeight="1">
      <c r="A84" s="22" t="s">
        <v>161</v>
      </c>
      <c r="B84" s="22" t="s">
        <v>162</v>
      </c>
      <c r="C84" s="29">
        <v>94.97753546009584</v>
      </c>
      <c r="D84" s="29">
        <v>2.9</v>
      </c>
      <c r="E84" s="29">
        <v>0.15905316634397</v>
      </c>
      <c r="F84" s="29">
        <v>0.2067707701191778</v>
      </c>
      <c r="G84" s="29">
        <v>99.5749893188477</v>
      </c>
      <c r="H84" s="29">
        <v>0.98</v>
      </c>
      <c r="I84" s="29">
        <v>3.8</v>
      </c>
    </row>
    <row r="85" ht="14.25" customHeight="1">
      <c r="A85" s="22" t="s">
        <v>163</v>
      </c>
      <c r="B85" s="22" t="s">
        <v>164</v>
      </c>
      <c r="C85" s="29">
        <v>99.0</v>
      </c>
      <c r="D85" s="29">
        <v>2.5</v>
      </c>
      <c r="E85" s="29"/>
      <c r="F85" s="29"/>
      <c r="G85" s="29"/>
      <c r="H85" s="29">
        <v>0.97</v>
      </c>
      <c r="I85" s="29">
        <v>2.8</v>
      </c>
    </row>
    <row r="86" ht="14.25" customHeight="1">
      <c r="A86" s="22" t="s">
        <v>165</v>
      </c>
      <c r="B86" s="22" t="s">
        <v>166</v>
      </c>
      <c r="C86" s="29">
        <v>88.36760954923214</v>
      </c>
      <c r="D86" s="29">
        <v>4.9</v>
      </c>
      <c r="E86" s="29">
        <v>13.624396987973899</v>
      </c>
      <c r="F86" s="29">
        <v>0.38911605002226085</v>
      </c>
      <c r="G86" s="29">
        <v>80.379997253418</v>
      </c>
      <c r="H86" s="29">
        <v>0.98</v>
      </c>
      <c r="I86" s="29">
        <v>1.1</v>
      </c>
    </row>
    <row r="87" ht="14.25" customHeight="1">
      <c r="A87" s="22" t="s">
        <v>167</v>
      </c>
      <c r="B87" s="22" t="s">
        <v>168</v>
      </c>
      <c r="C87" s="29">
        <v>99.0</v>
      </c>
      <c r="D87" s="29"/>
      <c r="E87" s="29"/>
      <c r="F87" s="29"/>
      <c r="G87" s="29"/>
      <c r="H87" s="29"/>
      <c r="I87" s="29"/>
    </row>
    <row r="88" ht="14.25" customHeight="1">
      <c r="A88" s="22" t="s">
        <v>169</v>
      </c>
      <c r="B88" s="22" t="s">
        <v>170</v>
      </c>
      <c r="C88" s="29">
        <v>99.0</v>
      </c>
      <c r="D88" s="29">
        <v>2.5</v>
      </c>
      <c r="E88" s="29"/>
      <c r="F88" s="29"/>
      <c r="G88" s="29"/>
      <c r="H88" s="29">
        <v>0.97</v>
      </c>
      <c r="I88" s="29">
        <v>4.2</v>
      </c>
    </row>
    <row r="89" ht="14.25" customHeight="1">
      <c r="A89" s="22" t="s">
        <v>171</v>
      </c>
      <c r="B89" s="22" t="s">
        <v>172</v>
      </c>
      <c r="C89" s="29">
        <v>99.0</v>
      </c>
      <c r="D89" s="29"/>
      <c r="E89" s="29"/>
      <c r="F89" s="29"/>
      <c r="G89" s="29"/>
      <c r="H89" s="29"/>
      <c r="I89" s="29"/>
    </row>
    <row r="90" ht="14.25" customHeight="1">
      <c r="A90" s="22" t="s">
        <v>173</v>
      </c>
      <c r="B90" s="22" t="s">
        <v>174</v>
      </c>
      <c r="C90" s="29"/>
      <c r="D90" s="29"/>
      <c r="E90" s="29"/>
      <c r="F90" s="29"/>
      <c r="G90" s="29"/>
      <c r="H90" s="29"/>
      <c r="I90" s="29">
        <v>1.7</v>
      </c>
    </row>
    <row r="91" ht="14.25" customHeight="1">
      <c r="A91" s="22" t="s">
        <v>175</v>
      </c>
      <c r="B91" s="22" t="s">
        <v>176</v>
      </c>
      <c r="C91" s="29">
        <v>99.0</v>
      </c>
      <c r="D91" s="29"/>
      <c r="E91" s="29"/>
      <c r="F91" s="29"/>
      <c r="G91" s="29"/>
      <c r="H91" s="29"/>
      <c r="I91" s="29"/>
    </row>
    <row r="92" ht="14.25" customHeight="1">
      <c r="A92" s="22" t="s">
        <v>177</v>
      </c>
      <c r="B92" s="22" t="s">
        <v>178</v>
      </c>
      <c r="C92" s="29">
        <v>99.0</v>
      </c>
      <c r="D92" s="29"/>
      <c r="E92" s="29"/>
      <c r="F92" s="29"/>
      <c r="G92" s="29"/>
      <c r="H92" s="29"/>
      <c r="I92" s="29"/>
    </row>
    <row r="93" ht="14.25" customHeight="1">
      <c r="A93" s="22" t="s">
        <v>179</v>
      </c>
      <c r="B93" s="22" t="s">
        <v>180</v>
      </c>
      <c r="C93" s="29">
        <v>94.6161088345289</v>
      </c>
      <c r="D93" s="29">
        <v>13.3</v>
      </c>
      <c r="E93" s="29">
        <v>22.73949719742518</v>
      </c>
      <c r="F93" s="29">
        <v>0.11358308982638282</v>
      </c>
      <c r="G93" s="29">
        <v>84.2699966430664</v>
      </c>
      <c r="H93" s="29">
        <v>0.98</v>
      </c>
      <c r="I93" s="29">
        <v>2.7</v>
      </c>
    </row>
    <row r="94" ht="14.25" customHeight="1">
      <c r="A94" s="22" t="s">
        <v>181</v>
      </c>
      <c r="B94" s="22" t="s">
        <v>182</v>
      </c>
      <c r="C94" s="29">
        <v>71.45121160945912</v>
      </c>
      <c r="D94" s="29">
        <v>12.9</v>
      </c>
      <c r="E94" s="29">
        <v>39.20823071682956</v>
      </c>
      <c r="F94" s="29">
        <v>0.4451914778354003</v>
      </c>
      <c r="G94" s="29">
        <v>45.3300018310547</v>
      </c>
      <c r="H94" s="29">
        <v>0.97</v>
      </c>
      <c r="I94" s="29">
        <v>3.1</v>
      </c>
    </row>
    <row r="95" ht="14.25" customHeight="1">
      <c r="A95" s="22" t="s">
        <v>183</v>
      </c>
      <c r="B95" s="22" t="s">
        <v>184</v>
      </c>
      <c r="C95" s="29">
        <v>61.77613327556767</v>
      </c>
      <c r="D95" s="29">
        <v>37.9</v>
      </c>
      <c r="E95" s="29">
        <v>63.509134001558046</v>
      </c>
      <c r="F95" s="29">
        <v>0.5187130807786712</v>
      </c>
      <c r="G95" s="29">
        <v>53.9000015258789</v>
      </c>
      <c r="H95" s="29"/>
      <c r="I95" s="29">
        <v>0.8</v>
      </c>
    </row>
    <row r="96" ht="14.25" customHeight="1">
      <c r="A96" s="22" t="s">
        <v>185</v>
      </c>
      <c r="B96" s="22" t="s">
        <v>186</v>
      </c>
      <c r="C96" s="29">
        <v>95.85973727982199</v>
      </c>
      <c r="D96" s="29">
        <v>2.5</v>
      </c>
      <c r="E96" s="29">
        <v>1.37607436251458</v>
      </c>
      <c r="F96" s="29">
        <v>0.13288429530747356</v>
      </c>
      <c r="G96" s="29">
        <v>90.0299987792969</v>
      </c>
      <c r="H96" s="29">
        <v>0.98</v>
      </c>
      <c r="I96" s="29">
        <v>3.1</v>
      </c>
    </row>
    <row r="97" ht="14.25" customHeight="1">
      <c r="A97" s="22" t="s">
        <v>187</v>
      </c>
      <c r="B97" s="22" t="s">
        <v>188</v>
      </c>
      <c r="C97" s="29">
        <v>67.41888471601942</v>
      </c>
      <c r="D97" s="29">
        <v>45.0</v>
      </c>
      <c r="E97" s="29">
        <v>29.69848219586386</v>
      </c>
      <c r="F97" s="29">
        <v>0.5896005658880615</v>
      </c>
      <c r="G97" s="29">
        <v>61.691349029541</v>
      </c>
      <c r="H97" s="29"/>
      <c r="I97" s="29">
        <v>2.8</v>
      </c>
    </row>
    <row r="98" ht="14.25" customHeight="1">
      <c r="A98" s="22" t="s">
        <v>189</v>
      </c>
      <c r="B98" s="22" t="s">
        <v>190</v>
      </c>
      <c r="C98" s="29"/>
      <c r="D98" s="29"/>
      <c r="E98" s="29"/>
      <c r="F98" s="29"/>
      <c r="G98" s="29"/>
      <c r="H98" s="29"/>
      <c r="I98" s="29"/>
    </row>
    <row r="99" ht="14.25" customHeight="1">
      <c r="A99" s="22" t="s">
        <v>191</v>
      </c>
      <c r="B99" s="22" t="s">
        <v>192</v>
      </c>
      <c r="C99" s="29">
        <v>95.80409487916631</v>
      </c>
      <c r="D99" s="29">
        <v>18.7</v>
      </c>
      <c r="E99" s="29">
        <v>22.73949719742518</v>
      </c>
      <c r="F99" s="29">
        <v>0.24130766685821503</v>
      </c>
      <c r="G99" s="29">
        <v>88.5074310302734</v>
      </c>
      <c r="H99" s="29">
        <v>0.96</v>
      </c>
      <c r="I99" s="29">
        <v>1.7</v>
      </c>
    </row>
    <row r="100" ht="14.25" customHeight="1">
      <c r="A100" s="22" t="s">
        <v>193</v>
      </c>
      <c r="B100" s="22" t="s">
        <v>194</v>
      </c>
      <c r="C100" s="29">
        <v>99.0</v>
      </c>
      <c r="D100" s="29">
        <v>2.5</v>
      </c>
      <c r="E100" s="29"/>
      <c r="F100" s="29"/>
      <c r="G100" s="29">
        <v>99.0999984741211</v>
      </c>
      <c r="H100" s="29">
        <v>0.98</v>
      </c>
      <c r="I100" s="29">
        <v>2.3</v>
      </c>
    </row>
    <row r="101" ht="14.25" customHeight="1">
      <c r="A101" s="22" t="s">
        <v>195</v>
      </c>
      <c r="B101" s="22" t="s">
        <v>196</v>
      </c>
      <c r="C101" s="29">
        <v>99.0</v>
      </c>
      <c r="D101" s="29">
        <v>2.5</v>
      </c>
      <c r="E101" s="29"/>
      <c r="F101" s="29"/>
      <c r="G101" s="29"/>
      <c r="H101" s="29">
        <v>0.96</v>
      </c>
      <c r="I101" s="29">
        <v>3.6</v>
      </c>
    </row>
    <row r="102" ht="14.25" customHeight="1">
      <c r="A102" s="22" t="s">
        <v>197</v>
      </c>
      <c r="B102" s="22" t="s">
        <v>198</v>
      </c>
      <c r="C102" s="29">
        <v>93.29909578194882</v>
      </c>
      <c r="D102" s="29">
        <v>16.6</v>
      </c>
      <c r="E102" s="29">
        <v>1.37607436251458</v>
      </c>
      <c r="F102" s="29">
        <v>0.4177847318654696</v>
      </c>
      <c r="G102" s="29">
        <v>76.3227767944336</v>
      </c>
      <c r="H102" s="29">
        <v>0.94</v>
      </c>
      <c r="I102" s="29">
        <v>5.6</v>
      </c>
    </row>
    <row r="103" ht="14.25" customHeight="1">
      <c r="A103" s="22" t="s">
        <v>199</v>
      </c>
      <c r="B103" s="22" t="s">
        <v>200</v>
      </c>
      <c r="C103" s="29">
        <v>94.10719255368072</v>
      </c>
      <c r="D103" s="29">
        <v>5.9</v>
      </c>
      <c r="E103" s="29">
        <v>1.30917871115283</v>
      </c>
      <c r="F103" s="29">
        <v>0.22188718962419543</v>
      </c>
      <c r="G103" s="29">
        <v>95.9990081787109</v>
      </c>
      <c r="H103" s="29">
        <v>0.97</v>
      </c>
      <c r="I103" s="29">
        <v>7.4</v>
      </c>
    </row>
    <row r="104" ht="14.25" customHeight="1">
      <c r="A104" s="22" t="s">
        <v>201</v>
      </c>
      <c r="B104" s="22" t="s">
        <v>202</v>
      </c>
      <c r="C104" s="29">
        <v>97.69118664224924</v>
      </c>
      <c r="D104" s="29">
        <v>6.1</v>
      </c>
      <c r="E104" s="29"/>
      <c r="F104" s="29">
        <v>0.09587563741193521</v>
      </c>
      <c r="G104" s="29">
        <v>88.9599990844727</v>
      </c>
      <c r="H104" s="29">
        <v>0.96</v>
      </c>
      <c r="I104" s="29">
        <v>8.2</v>
      </c>
    </row>
    <row r="105" ht="14.25" customHeight="1">
      <c r="A105" s="22" t="s">
        <v>203</v>
      </c>
      <c r="B105" s="22" t="s">
        <v>204</v>
      </c>
      <c r="C105" s="29">
        <v>98.38285248402094</v>
      </c>
      <c r="D105" s="29">
        <v>16.3</v>
      </c>
      <c r="E105" s="29">
        <v>1.3234978508344901</v>
      </c>
      <c r="F105" s="29">
        <v>0.16201003141261433</v>
      </c>
      <c r="G105" s="29">
        <v>85.5999984741211</v>
      </c>
      <c r="H105" s="29"/>
      <c r="I105" s="29">
        <v>6.5</v>
      </c>
    </row>
    <row r="106" ht="14.25" customHeight="1">
      <c r="A106" s="22" t="s">
        <v>205</v>
      </c>
      <c r="B106" s="22" t="s">
        <v>206</v>
      </c>
      <c r="C106" s="29">
        <v>95.99140503980652</v>
      </c>
      <c r="D106" s="29">
        <v>2.5</v>
      </c>
      <c r="E106" s="29"/>
      <c r="F106" s="29"/>
      <c r="G106" s="29"/>
      <c r="H106" s="29">
        <v>0.96</v>
      </c>
      <c r="I106" s="29">
        <v>1.0</v>
      </c>
    </row>
    <row r="107" ht="14.25" customHeight="1">
      <c r="A107" s="22" t="s">
        <v>207</v>
      </c>
      <c r="B107" s="22" t="s">
        <v>208</v>
      </c>
      <c r="C107" s="29">
        <v>99.0</v>
      </c>
      <c r="D107" s="29"/>
      <c r="E107" s="29"/>
      <c r="F107" s="29"/>
      <c r="G107" s="29"/>
      <c r="H107" s="29"/>
      <c r="I107" s="29"/>
    </row>
    <row r="108" ht="14.25" customHeight="1">
      <c r="A108" s="22" t="s">
        <v>209</v>
      </c>
      <c r="B108" s="22" t="s">
        <v>210</v>
      </c>
      <c r="C108" s="29">
        <v>99.0</v>
      </c>
      <c r="D108" s="29">
        <v>2.5</v>
      </c>
      <c r="E108" s="29"/>
      <c r="F108" s="29"/>
      <c r="G108" s="29"/>
      <c r="H108" s="29">
        <v>0.96</v>
      </c>
      <c r="I108" s="29">
        <v>5.7</v>
      </c>
    </row>
    <row r="109" ht="14.25" customHeight="1">
      <c r="A109" s="22" t="s">
        <v>211</v>
      </c>
      <c r="B109" s="22" t="s">
        <v>212</v>
      </c>
      <c r="C109" s="29">
        <v>99.0</v>
      </c>
      <c r="D109" s="29">
        <v>2.5</v>
      </c>
      <c r="E109" s="29"/>
      <c r="F109" s="29"/>
      <c r="G109" s="29">
        <v>99.3490982055664</v>
      </c>
      <c r="H109" s="29">
        <v>0.96</v>
      </c>
      <c r="I109" s="29">
        <v>2.9</v>
      </c>
    </row>
    <row r="110" ht="14.25" customHeight="1">
      <c r="A110" s="22" t="s">
        <v>213</v>
      </c>
      <c r="B110" s="22" t="s">
        <v>214</v>
      </c>
      <c r="C110" s="29">
        <v>91.0996333244216</v>
      </c>
      <c r="D110" s="29">
        <v>8.3</v>
      </c>
      <c r="E110" s="29">
        <v>8.91694565916845</v>
      </c>
      <c r="F110" s="29">
        <v>0.09256909062342683</v>
      </c>
      <c r="G110" s="29"/>
      <c r="H110" s="29">
        <v>0.97</v>
      </c>
      <c r="I110" s="29">
        <v>2.4</v>
      </c>
    </row>
    <row r="111" ht="14.25" customHeight="1">
      <c r="A111" s="22" t="s">
        <v>215</v>
      </c>
      <c r="B111" s="22" t="s">
        <v>216</v>
      </c>
      <c r="C111" s="29">
        <v>99.0</v>
      </c>
      <c r="D111" s="29">
        <v>3.2</v>
      </c>
      <c r="E111" s="29"/>
      <c r="F111" s="29"/>
      <c r="G111" s="29"/>
      <c r="H111" s="29">
        <v>0.97</v>
      </c>
      <c r="I111" s="29">
        <v>0.8</v>
      </c>
    </row>
    <row r="112" ht="14.25" customHeight="1">
      <c r="A112" s="22" t="s">
        <v>217</v>
      </c>
      <c r="B112" s="22" t="s">
        <v>218</v>
      </c>
      <c r="C112" s="29">
        <v>98.96938517281468</v>
      </c>
      <c r="D112" s="29"/>
      <c r="E112" s="29">
        <v>0.10763930302363998</v>
      </c>
      <c r="F112" s="29">
        <v>0.19163912663322033</v>
      </c>
      <c r="G112" s="29">
        <v>98.4199981689453</v>
      </c>
      <c r="H112" s="29">
        <v>0.96</v>
      </c>
      <c r="I112" s="29">
        <v>5.5</v>
      </c>
    </row>
    <row r="113" ht="14.25" customHeight="1">
      <c r="A113" s="22" t="s">
        <v>219</v>
      </c>
      <c r="B113" s="22" t="s">
        <v>220</v>
      </c>
      <c r="C113" s="29"/>
      <c r="D113" s="29">
        <v>2.5</v>
      </c>
      <c r="E113" s="29">
        <v>0.09256179405742</v>
      </c>
      <c r="F113" s="29">
        <v>0.05031555937337427</v>
      </c>
      <c r="G113" s="29">
        <v>99.8000030517578</v>
      </c>
      <c r="H113" s="29">
        <v>0.98</v>
      </c>
      <c r="I113" s="29">
        <v>7.0</v>
      </c>
    </row>
    <row r="114" ht="14.25" customHeight="1">
      <c r="A114" s="22" t="s">
        <v>221</v>
      </c>
      <c r="B114" s="22" t="s">
        <v>222</v>
      </c>
      <c r="C114" s="29">
        <v>62.86177757630002</v>
      </c>
      <c r="D114" s="29">
        <v>27.8</v>
      </c>
      <c r="E114" s="29">
        <v>37.406114415052734</v>
      </c>
      <c r="F114" s="29">
        <v>0.6268317521708184</v>
      </c>
      <c r="G114" s="29">
        <v>82.879997253418</v>
      </c>
      <c r="H114" s="29">
        <v>0.98</v>
      </c>
      <c r="I114" s="29">
        <v>3.5</v>
      </c>
    </row>
    <row r="115" ht="14.25" customHeight="1">
      <c r="A115" s="22" t="s">
        <v>223</v>
      </c>
      <c r="B115" s="22" t="s">
        <v>224</v>
      </c>
      <c r="C115" s="29">
        <v>75.69410553703487</v>
      </c>
      <c r="D115" s="29">
        <v>12.1</v>
      </c>
      <c r="E115" s="29">
        <v>19.1664550811527</v>
      </c>
      <c r="F115" s="29"/>
      <c r="G115" s="29"/>
      <c r="H115" s="29"/>
      <c r="I115" s="29">
        <v>1.4</v>
      </c>
    </row>
    <row r="116" ht="14.25" customHeight="1">
      <c r="A116" s="22" t="s">
        <v>225</v>
      </c>
      <c r="B116" s="22" t="s">
        <v>226</v>
      </c>
      <c r="C116" s="29">
        <v>99.0</v>
      </c>
      <c r="D116" s="29">
        <v>2.5</v>
      </c>
      <c r="E116" s="29"/>
      <c r="F116" s="29">
        <v>0.023013870606511173</v>
      </c>
      <c r="G116" s="29">
        <v>96.4575424194336</v>
      </c>
      <c r="H116" s="29">
        <v>0.97</v>
      </c>
      <c r="I116" s="29">
        <v>5.6</v>
      </c>
    </row>
    <row r="117" ht="14.25" customHeight="1">
      <c r="A117" s="22" t="s">
        <v>227</v>
      </c>
      <c r="B117" s="22" t="s">
        <v>228</v>
      </c>
      <c r="C117" s="29">
        <v>90.79580709394386</v>
      </c>
      <c r="D117" s="29">
        <v>4.8</v>
      </c>
      <c r="E117" s="29">
        <v>0.03662257894377</v>
      </c>
      <c r="F117" s="29">
        <v>0.1739581690696828</v>
      </c>
      <c r="G117" s="29">
        <v>99.5999984741211</v>
      </c>
      <c r="H117" s="29">
        <v>0.98</v>
      </c>
      <c r="I117" s="29">
        <v>5.7</v>
      </c>
    </row>
    <row r="118" ht="14.25" customHeight="1">
      <c r="A118" s="22" t="s">
        <v>524</v>
      </c>
      <c r="B118" s="22" t="s">
        <v>525</v>
      </c>
      <c r="C118" s="29"/>
      <c r="D118" s="29"/>
      <c r="E118" s="29"/>
      <c r="F118" s="29"/>
      <c r="G118" s="29"/>
      <c r="H118" s="29"/>
      <c r="I118" s="29">
        <v>2.8</v>
      </c>
    </row>
    <row r="119" ht="14.25" customHeight="1">
      <c r="A119" s="22" t="s">
        <v>229</v>
      </c>
      <c r="B119" s="22" t="s">
        <v>230</v>
      </c>
      <c r="C119" s="29">
        <v>85.46180040069032</v>
      </c>
      <c r="D119" s="29">
        <v>4.7</v>
      </c>
      <c r="E119" s="29">
        <v>12.024581887326779</v>
      </c>
      <c r="F119" s="29">
        <v>0.27981916009448443</v>
      </c>
      <c r="G119" s="29">
        <v>87.5199966430664</v>
      </c>
      <c r="H119" s="29">
        <v>0.98</v>
      </c>
      <c r="I119" s="29">
        <v>6.5</v>
      </c>
    </row>
    <row r="120" ht="14.25" customHeight="1">
      <c r="A120" s="22" t="s">
        <v>231</v>
      </c>
      <c r="B120" s="22" t="s">
        <v>232</v>
      </c>
      <c r="C120" s="29">
        <v>98.89352738853718</v>
      </c>
      <c r="D120" s="29">
        <v>2.5</v>
      </c>
      <c r="E120" s="29"/>
      <c r="F120" s="29"/>
      <c r="G120" s="29">
        <v>99.8899993896484</v>
      </c>
      <c r="H120" s="29">
        <v>0.98</v>
      </c>
      <c r="I120" s="29">
        <v>2.4</v>
      </c>
    </row>
    <row r="121" ht="14.25" customHeight="1">
      <c r="A121" s="22" t="s">
        <v>233</v>
      </c>
      <c r="B121" s="22" t="s">
        <v>234</v>
      </c>
      <c r="C121" s="29">
        <v>92.6</v>
      </c>
      <c r="D121" s="29"/>
      <c r="E121" s="29"/>
      <c r="F121" s="29">
        <v>0.11738323180559061</v>
      </c>
      <c r="G121" s="29">
        <v>87.2733306884766</v>
      </c>
      <c r="H121" s="29">
        <v>0.97</v>
      </c>
      <c r="I121" s="29">
        <v>3.8</v>
      </c>
    </row>
    <row r="122" ht="14.25" customHeight="1">
      <c r="A122" s="22" t="s">
        <v>235</v>
      </c>
      <c r="B122" s="22" t="s">
        <v>236</v>
      </c>
      <c r="C122" s="29">
        <v>73.97070851090864</v>
      </c>
      <c r="D122" s="29">
        <v>46.0</v>
      </c>
      <c r="E122" s="29">
        <v>15.892954486669849</v>
      </c>
      <c r="F122" s="29">
        <v>0.5728787359664709</v>
      </c>
      <c r="G122" s="29">
        <v>82.0100021362305</v>
      </c>
      <c r="H122" s="29">
        <v>0.98</v>
      </c>
      <c r="I122" s="29">
        <v>1.1</v>
      </c>
    </row>
    <row r="123" ht="14.25" customHeight="1">
      <c r="A123" s="22" t="s">
        <v>237</v>
      </c>
      <c r="B123" s="22" t="s">
        <v>238</v>
      </c>
      <c r="C123" s="29">
        <v>75.6101315165298</v>
      </c>
      <c r="D123" s="29">
        <v>38.4</v>
      </c>
      <c r="E123" s="29">
        <v>36.57293830713168</v>
      </c>
      <c r="F123" s="29">
        <v>0.6170981281124918</v>
      </c>
      <c r="G123" s="29">
        <v>48.3013610839844</v>
      </c>
      <c r="H123" s="29">
        <v>0.96</v>
      </c>
      <c r="I123" s="29">
        <v>1.4</v>
      </c>
    </row>
    <row r="124" ht="14.25" customHeight="1">
      <c r="A124" s="22" t="s">
        <v>239</v>
      </c>
      <c r="B124" s="22" t="s">
        <v>240</v>
      </c>
      <c r="C124" s="29">
        <v>99.0</v>
      </c>
      <c r="D124" s="29">
        <v>8.4</v>
      </c>
      <c r="E124" s="29">
        <v>0.38827324702605</v>
      </c>
      <c r="F124" s="29">
        <v>0.2793383597617708</v>
      </c>
      <c r="G124" s="29"/>
      <c r="H124" s="29"/>
      <c r="I124" s="29">
        <v>6.0</v>
      </c>
    </row>
    <row r="125" ht="14.25" customHeight="1">
      <c r="A125" s="22" t="s">
        <v>241</v>
      </c>
      <c r="B125" s="22" t="s">
        <v>242</v>
      </c>
      <c r="C125" s="29">
        <v>99.0</v>
      </c>
      <c r="D125" s="29"/>
      <c r="E125" s="29"/>
      <c r="F125" s="29"/>
      <c r="G125" s="29"/>
      <c r="H125" s="29"/>
      <c r="I125" s="29">
        <v>2.0</v>
      </c>
    </row>
    <row r="126" ht="14.25" customHeight="1">
      <c r="A126" s="22" t="s">
        <v>243</v>
      </c>
      <c r="B126" s="22" t="s">
        <v>244</v>
      </c>
      <c r="C126" s="29">
        <v>98.03940166636342</v>
      </c>
      <c r="D126" s="29">
        <v>2.5</v>
      </c>
      <c r="E126" s="29"/>
      <c r="F126" s="29"/>
      <c r="G126" s="29">
        <v>99.8300018310547</v>
      </c>
      <c r="H126" s="29">
        <v>0.98</v>
      </c>
      <c r="I126" s="29">
        <v>2.8</v>
      </c>
    </row>
    <row r="127" ht="14.25" customHeight="1">
      <c r="A127" s="22" t="s">
        <v>245</v>
      </c>
      <c r="B127" s="22" t="s">
        <v>246</v>
      </c>
      <c r="C127" s="29">
        <v>99.0</v>
      </c>
      <c r="D127" s="29">
        <v>2.5</v>
      </c>
      <c r="E127" s="29"/>
      <c r="F127" s="29"/>
      <c r="G127" s="29"/>
      <c r="H127" s="29">
        <v>0.96</v>
      </c>
      <c r="I127" s="29">
        <v>3.1</v>
      </c>
    </row>
    <row r="128" ht="14.25" customHeight="1">
      <c r="A128" s="22" t="s">
        <v>247</v>
      </c>
      <c r="B128" s="22" t="s">
        <v>248</v>
      </c>
      <c r="C128" s="29">
        <v>53.46588341558257</v>
      </c>
      <c r="D128" s="29">
        <v>51.0</v>
      </c>
      <c r="E128" s="29">
        <v>58.80587341552187</v>
      </c>
      <c r="F128" s="29">
        <v>0.9416793227263961</v>
      </c>
      <c r="G128" s="29">
        <v>77.4800033569336</v>
      </c>
      <c r="H128" s="29">
        <v>0.97</v>
      </c>
      <c r="I128" s="29">
        <v>3.3</v>
      </c>
    </row>
    <row r="129" ht="14.25" customHeight="1">
      <c r="A129" s="22" t="s">
        <v>249</v>
      </c>
      <c r="B129" s="22" t="s">
        <v>250</v>
      </c>
      <c r="C129" s="29">
        <v>71.87190978107462</v>
      </c>
      <c r="D129" s="29">
        <v>17.8</v>
      </c>
      <c r="E129" s="29">
        <v>34.94990200650029</v>
      </c>
      <c r="F129" s="29">
        <v>0.8762038806751558</v>
      </c>
      <c r="G129" s="29">
        <v>68.0800018310547</v>
      </c>
      <c r="H129" s="29">
        <v>0.98</v>
      </c>
      <c r="I129" s="29">
        <v>2.2</v>
      </c>
    </row>
    <row r="130" ht="14.25" customHeight="1">
      <c r="A130" s="22" t="s">
        <v>251</v>
      </c>
      <c r="B130" s="22" t="s">
        <v>252</v>
      </c>
      <c r="C130" s="29">
        <v>97.15645919139429</v>
      </c>
      <c r="D130" s="29">
        <v>2.7</v>
      </c>
      <c r="E130" s="29"/>
      <c r="F130" s="29">
        <v>0.03936936720920955</v>
      </c>
      <c r="G130" s="29"/>
      <c r="H130" s="29">
        <v>0.97</v>
      </c>
      <c r="I130" s="29">
        <v>7.7</v>
      </c>
    </row>
    <row r="131" ht="14.25" customHeight="1">
      <c r="A131" s="22" t="s">
        <v>253</v>
      </c>
      <c r="B131" s="22" t="s">
        <v>254</v>
      </c>
      <c r="C131" s="29">
        <v>99.0</v>
      </c>
      <c r="D131" s="29"/>
      <c r="E131" s="29">
        <v>0.11271575053856</v>
      </c>
      <c r="F131" s="29">
        <v>0.04310785417571312</v>
      </c>
      <c r="G131" s="29">
        <v>97.8600006103516</v>
      </c>
      <c r="H131" s="29">
        <v>0.96</v>
      </c>
      <c r="I131" s="29">
        <v>6.6</v>
      </c>
    </row>
    <row r="132" ht="14.25" customHeight="1">
      <c r="A132" s="22" t="s">
        <v>255</v>
      </c>
      <c r="B132" s="22" t="s">
        <v>256</v>
      </c>
      <c r="C132" s="29">
        <v>83.64946367010572</v>
      </c>
      <c r="D132" s="29">
        <v>12.8</v>
      </c>
      <c r="E132" s="29">
        <v>60.47973333557315</v>
      </c>
      <c r="F132" s="29">
        <v>0.49355686684972805</v>
      </c>
      <c r="G132" s="29">
        <v>30.7614097595215</v>
      </c>
      <c r="H132" s="29">
        <v>0.96</v>
      </c>
      <c r="I132" s="29">
        <v>2.3</v>
      </c>
    </row>
    <row r="133" ht="14.25" customHeight="1">
      <c r="A133" s="22" t="s">
        <v>257</v>
      </c>
      <c r="B133" s="22" t="s">
        <v>258</v>
      </c>
      <c r="C133" s="29">
        <v>99.0</v>
      </c>
      <c r="D133" s="29">
        <v>4.6</v>
      </c>
      <c r="E133" s="29"/>
      <c r="F133" s="29"/>
      <c r="G133" s="29">
        <v>94.9400024414062</v>
      </c>
      <c r="H133" s="29">
        <v>0.96</v>
      </c>
      <c r="I133" s="29">
        <v>2.0</v>
      </c>
    </row>
    <row r="134" ht="14.25" customHeight="1">
      <c r="A134" s="22" t="s">
        <v>259</v>
      </c>
      <c r="B134" s="22" t="s">
        <v>260</v>
      </c>
      <c r="C134" s="29">
        <v>85.0637399586713</v>
      </c>
      <c r="D134" s="29"/>
      <c r="E134" s="29"/>
      <c r="F134" s="29"/>
      <c r="G134" s="29"/>
      <c r="H134" s="29"/>
      <c r="I134" s="29">
        <v>0.4</v>
      </c>
    </row>
    <row r="135" ht="14.25" customHeight="1">
      <c r="A135" s="22" t="s">
        <v>261</v>
      </c>
      <c r="B135" s="22" t="s">
        <v>262</v>
      </c>
      <c r="C135" s="29">
        <v>99.0</v>
      </c>
      <c r="D135" s="29"/>
      <c r="E135" s="29"/>
      <c r="F135" s="29"/>
      <c r="G135" s="29"/>
      <c r="H135" s="29"/>
      <c r="I135" s="29"/>
    </row>
    <row r="136" ht="14.25" customHeight="1">
      <c r="A136" s="22" t="s">
        <v>263</v>
      </c>
      <c r="B136" s="22" t="s">
        <v>264</v>
      </c>
      <c r="C136" s="29">
        <v>77.81125868770445</v>
      </c>
      <c r="D136" s="29">
        <v>8.7</v>
      </c>
      <c r="E136" s="29">
        <v>69.45664852316787</v>
      </c>
      <c r="F136" s="29">
        <v>0.25898740363517886</v>
      </c>
      <c r="G136" s="29">
        <v>66.9599990844727</v>
      </c>
      <c r="H136" s="29"/>
      <c r="I136" s="29">
        <v>6.1</v>
      </c>
    </row>
    <row r="137" ht="14.25" customHeight="1">
      <c r="A137" s="22" t="s">
        <v>265</v>
      </c>
      <c r="B137" s="22" t="s">
        <v>266</v>
      </c>
      <c r="C137" s="29">
        <v>99.0</v>
      </c>
      <c r="D137" s="29">
        <v>6.8</v>
      </c>
      <c r="E137" s="29"/>
      <c r="F137" s="29">
        <v>0.06162557360722477</v>
      </c>
      <c r="G137" s="29">
        <v>92.1500015258789</v>
      </c>
      <c r="H137" s="29">
        <v>0.98</v>
      </c>
      <c r="I137" s="29">
        <v>1.7</v>
      </c>
    </row>
    <row r="138" ht="14.25" customHeight="1">
      <c r="A138" s="22" t="s">
        <v>267</v>
      </c>
      <c r="B138" s="22" t="s">
        <v>268</v>
      </c>
      <c r="C138" s="29">
        <v>96.37117970547868</v>
      </c>
      <c r="D138" s="29"/>
      <c r="E138" s="29"/>
      <c r="F138" s="29"/>
      <c r="G138" s="29"/>
      <c r="H138" s="29"/>
      <c r="I138" s="29"/>
    </row>
    <row r="139" ht="14.25" customHeight="1">
      <c r="A139" s="22" t="s">
        <v>269</v>
      </c>
      <c r="B139" s="22" t="s">
        <v>270</v>
      </c>
      <c r="C139" s="29">
        <v>99.0</v>
      </c>
      <c r="D139" s="29">
        <v>2.5</v>
      </c>
      <c r="E139" s="29">
        <v>2.13294893562688</v>
      </c>
      <c r="F139" s="29">
        <v>0.09080664183648417</v>
      </c>
      <c r="G139" s="29">
        <v>95.2478485107422</v>
      </c>
      <c r="H139" s="29">
        <v>0.98</v>
      </c>
      <c r="I139" s="29">
        <v>3.5</v>
      </c>
    </row>
    <row r="140" ht="14.25" customHeight="1">
      <c r="A140" s="22" t="s">
        <v>271</v>
      </c>
      <c r="B140" s="22" t="s">
        <v>272</v>
      </c>
      <c r="C140" s="29"/>
      <c r="D140" s="29"/>
      <c r="E140" s="29"/>
      <c r="F140" s="29"/>
      <c r="G140" s="29"/>
      <c r="H140" s="29"/>
      <c r="I140" s="29">
        <v>0.4</v>
      </c>
    </row>
    <row r="141" ht="14.25" customHeight="1">
      <c r="A141" s="22" t="s">
        <v>273</v>
      </c>
      <c r="B141" s="22" t="s">
        <v>274</v>
      </c>
      <c r="C141" s="29">
        <v>99.0</v>
      </c>
      <c r="D141" s="29"/>
      <c r="E141" s="29"/>
      <c r="F141" s="29"/>
      <c r="G141" s="29"/>
      <c r="H141" s="29"/>
      <c r="I141" s="29">
        <v>2.1</v>
      </c>
    </row>
    <row r="142" ht="14.25" customHeight="1">
      <c r="A142" s="22" t="s">
        <v>275</v>
      </c>
      <c r="B142" s="22" t="s">
        <v>276</v>
      </c>
      <c r="C142" s="29">
        <v>83.51122723529024</v>
      </c>
      <c r="D142" s="29">
        <v>8.0</v>
      </c>
      <c r="E142" s="29">
        <v>6.14740647666709</v>
      </c>
      <c r="F142" s="29">
        <v>0.08627021601770114</v>
      </c>
      <c r="G142" s="29">
        <v>99.1832733154297</v>
      </c>
      <c r="H142" s="29">
        <v>0.98</v>
      </c>
      <c r="I142" s="29">
        <v>3.1</v>
      </c>
    </row>
    <row r="143" ht="14.25" customHeight="1">
      <c r="A143" s="22" t="s">
        <v>277</v>
      </c>
      <c r="B143" s="22" t="s">
        <v>278</v>
      </c>
      <c r="C143" s="29">
        <v>98.86387363126846</v>
      </c>
      <c r="D143" s="29">
        <v>2.5</v>
      </c>
      <c r="E143" s="29">
        <v>0.29355145873869004</v>
      </c>
      <c r="F143" s="29">
        <v>0.17123969561368155</v>
      </c>
      <c r="G143" s="29">
        <v>98.9800033569336</v>
      </c>
      <c r="H143" s="29">
        <v>0.97</v>
      </c>
      <c r="I143" s="29">
        <v>2.8</v>
      </c>
    </row>
    <row r="144" ht="14.25" customHeight="1">
      <c r="A144" s="22" t="s">
        <v>279</v>
      </c>
      <c r="B144" s="22" t="s">
        <v>280</v>
      </c>
      <c r="C144" s="29">
        <v>98.07748262207888</v>
      </c>
      <c r="D144" s="29"/>
      <c r="E144" s="29"/>
      <c r="F144" s="29"/>
      <c r="G144" s="29"/>
      <c r="H144" s="29"/>
      <c r="I144" s="29"/>
    </row>
    <row r="145" ht="14.25" customHeight="1">
      <c r="A145" s="22" t="s">
        <v>281</v>
      </c>
      <c r="B145" s="22" t="s">
        <v>282</v>
      </c>
      <c r="C145" s="29">
        <v>87.01945848664464</v>
      </c>
      <c r="D145" s="29">
        <v>6.3</v>
      </c>
      <c r="E145" s="29">
        <v>3.84551212812173</v>
      </c>
      <c r="F145" s="29">
        <v>0.16342250906738726</v>
      </c>
      <c r="G145" s="29">
        <v>77.3499984741211</v>
      </c>
      <c r="H145" s="29">
        <v>0.96</v>
      </c>
      <c r="I145" s="29">
        <v>6.2</v>
      </c>
    </row>
    <row r="146" ht="14.25" customHeight="1">
      <c r="A146" s="22" t="s">
        <v>283</v>
      </c>
      <c r="B146" s="22" t="s">
        <v>284</v>
      </c>
      <c r="C146" s="29">
        <v>63.19536575410751</v>
      </c>
      <c r="D146" s="29">
        <v>30.5</v>
      </c>
      <c r="E146" s="29">
        <v>55.78821285900113</v>
      </c>
      <c r="F146" s="29">
        <v>0.8570231637471575</v>
      </c>
      <c r="G146" s="29">
        <v>59.7796096801758</v>
      </c>
      <c r="H146" s="29">
        <v>0.98</v>
      </c>
      <c r="I146" s="29">
        <v>2.9</v>
      </c>
    </row>
    <row r="147" ht="14.25" customHeight="1">
      <c r="A147" s="22" t="s">
        <v>285</v>
      </c>
      <c r="B147" s="22" t="s">
        <v>286</v>
      </c>
      <c r="C147" s="29">
        <v>82.38444021370678</v>
      </c>
      <c r="D147" s="29">
        <v>3.8</v>
      </c>
      <c r="E147" s="29">
        <v>34.94990200650029</v>
      </c>
      <c r="F147" s="29">
        <v>0.19077893364975926</v>
      </c>
      <c r="G147" s="29">
        <v>89.0699462890625</v>
      </c>
      <c r="H147" s="29">
        <v>0.98</v>
      </c>
      <c r="I147" s="29">
        <v>7.7</v>
      </c>
    </row>
    <row r="148" ht="14.25" customHeight="1">
      <c r="A148" s="22" t="s">
        <v>287</v>
      </c>
      <c r="B148" s="22" t="s">
        <v>288</v>
      </c>
      <c r="C148" s="29">
        <v>85.9121143953787</v>
      </c>
      <c r="D148" s="29">
        <v>17.1</v>
      </c>
      <c r="E148" s="29">
        <v>31.90936891583693</v>
      </c>
      <c r="F148" s="29">
        <v>0.3679546891198261</v>
      </c>
      <c r="G148" s="29">
        <v>92.25</v>
      </c>
      <c r="H148" s="29">
        <v>0.98</v>
      </c>
      <c r="I148" s="29">
        <v>3.8</v>
      </c>
    </row>
    <row r="149" ht="14.25" customHeight="1">
      <c r="A149" s="22" t="s">
        <v>289</v>
      </c>
      <c r="B149" s="22" t="s">
        <v>290</v>
      </c>
      <c r="C149" s="29"/>
      <c r="D149" s="29"/>
      <c r="E149" s="29"/>
      <c r="F149" s="29"/>
      <c r="G149" s="29"/>
      <c r="H149" s="29"/>
      <c r="I149" s="29">
        <v>1.6</v>
      </c>
    </row>
    <row r="150" ht="14.25" customHeight="1">
      <c r="A150" s="22" t="s">
        <v>291</v>
      </c>
      <c r="B150" s="22" t="s">
        <v>292</v>
      </c>
      <c r="C150" s="29">
        <v>91.23509650735038</v>
      </c>
      <c r="D150" s="29">
        <v>5.4</v>
      </c>
      <c r="E150" s="29">
        <v>16.27845127612029</v>
      </c>
      <c r="F150" s="29">
        <v>0.23638730461940308</v>
      </c>
      <c r="G150" s="29">
        <v>71.1500015258789</v>
      </c>
      <c r="H150" s="29">
        <v>0.96</v>
      </c>
      <c r="I150" s="29">
        <v>5.4</v>
      </c>
    </row>
    <row r="151" ht="14.25" customHeight="1">
      <c r="A151" s="22" t="s">
        <v>293</v>
      </c>
      <c r="B151" s="22" t="s">
        <v>294</v>
      </c>
      <c r="C151" s="29">
        <v>99.0</v>
      </c>
      <c r="D151" s="29">
        <v>2.5</v>
      </c>
      <c r="E151" s="29"/>
      <c r="F151" s="29"/>
      <c r="G151" s="29"/>
      <c r="H151" s="29">
        <v>0.96</v>
      </c>
      <c r="I151" s="29">
        <v>3.8</v>
      </c>
    </row>
    <row r="152" ht="14.25" customHeight="1">
      <c r="A152" s="22" t="s">
        <v>295</v>
      </c>
      <c r="B152" s="22" t="s">
        <v>296</v>
      </c>
      <c r="C152" s="29">
        <v>99.0</v>
      </c>
      <c r="D152" s="29">
        <v>4.8</v>
      </c>
      <c r="E152" s="29"/>
      <c r="F152" s="29"/>
      <c r="G152" s="29"/>
      <c r="H152" s="29"/>
      <c r="I152" s="29"/>
    </row>
    <row r="153" ht="14.25" customHeight="1">
      <c r="A153" s="22" t="s">
        <v>297</v>
      </c>
      <c r="B153" s="22" t="s">
        <v>298</v>
      </c>
      <c r="C153" s="29">
        <v>99.0</v>
      </c>
      <c r="D153" s="29">
        <v>2.5</v>
      </c>
      <c r="E153" s="29"/>
      <c r="F153" s="29"/>
      <c r="G153" s="29"/>
      <c r="H153" s="29">
        <v>0.97</v>
      </c>
      <c r="I153" s="29">
        <v>0.3</v>
      </c>
    </row>
    <row r="154" ht="14.25" customHeight="1">
      <c r="A154" s="22" t="s">
        <v>299</v>
      </c>
      <c r="B154" s="22" t="s">
        <v>300</v>
      </c>
      <c r="C154" s="29"/>
      <c r="D154" s="29">
        <v>17.8</v>
      </c>
      <c r="E154" s="29">
        <v>13.511137869083331</v>
      </c>
      <c r="F154" s="29">
        <v>0.13093689826793076</v>
      </c>
      <c r="G154" s="29">
        <v>82.6145477294922</v>
      </c>
      <c r="H154" s="29">
        <v>0.98</v>
      </c>
      <c r="I154" s="29">
        <v>3.8</v>
      </c>
    </row>
    <row r="155" ht="14.25" customHeight="1">
      <c r="A155" s="22" t="s">
        <v>301</v>
      </c>
      <c r="B155" s="22" t="s">
        <v>302</v>
      </c>
      <c r="C155" s="29">
        <v>48.89607048852097</v>
      </c>
      <c r="D155" s="29">
        <v>16.1</v>
      </c>
      <c r="E155" s="29">
        <v>88.902598565057</v>
      </c>
      <c r="F155" s="29">
        <v>0.7800055971980798</v>
      </c>
      <c r="G155" s="29">
        <v>38.0999984741211</v>
      </c>
      <c r="H155" s="29">
        <v>0.96</v>
      </c>
      <c r="I155" s="29">
        <v>3.8</v>
      </c>
    </row>
    <row r="156" ht="14.25" customHeight="1">
      <c r="A156" s="22" t="s">
        <v>303</v>
      </c>
      <c r="B156" s="22" t="s">
        <v>304</v>
      </c>
      <c r="C156" s="29">
        <v>79.63940859484839</v>
      </c>
      <c r="D156" s="29">
        <v>15.9</v>
      </c>
      <c r="E156" s="29">
        <v>24.69932632886734</v>
      </c>
      <c r="F156" s="29">
        <v>0.5933982922341245</v>
      </c>
      <c r="G156" s="29">
        <v>62.0160102844238</v>
      </c>
      <c r="H156" s="29">
        <v>0.97</v>
      </c>
      <c r="I156" s="29">
        <v>4.3</v>
      </c>
    </row>
    <row r="157" ht="14.25" customHeight="1">
      <c r="A157" s="22" t="s">
        <v>305</v>
      </c>
      <c r="B157" s="22" t="s">
        <v>306</v>
      </c>
      <c r="C157" s="29">
        <v>97.01087617832906</v>
      </c>
      <c r="D157" s="29"/>
      <c r="E157" s="29"/>
      <c r="F157" s="29"/>
      <c r="G157" s="29"/>
      <c r="H157" s="29"/>
      <c r="I157" s="29"/>
    </row>
    <row r="158" ht="14.25" customHeight="1">
      <c r="A158" s="22" t="s">
        <v>307</v>
      </c>
      <c r="B158" s="22" t="s">
        <v>308</v>
      </c>
      <c r="C158" s="29">
        <v>97.84256181010902</v>
      </c>
      <c r="D158" s="29">
        <v>3.6</v>
      </c>
      <c r="E158" s="29">
        <v>0.0</v>
      </c>
      <c r="F158" s="29">
        <v>0.16170559295954406</v>
      </c>
      <c r="G158" s="29">
        <v>97.5999984741211</v>
      </c>
      <c r="H158" s="29">
        <v>0.97</v>
      </c>
      <c r="I158" s="29">
        <v>3.7</v>
      </c>
    </row>
    <row r="159" ht="14.25" customHeight="1">
      <c r="A159" s="22" t="s">
        <v>309</v>
      </c>
      <c r="B159" s="22" t="s">
        <v>310</v>
      </c>
      <c r="C159" s="29">
        <v>99.0</v>
      </c>
      <c r="D159" s="29"/>
      <c r="E159" s="29"/>
      <c r="F159" s="29"/>
      <c r="G159" s="29"/>
      <c r="H159" s="29"/>
      <c r="I159" s="29"/>
    </row>
    <row r="160" ht="14.25" customHeight="1">
      <c r="A160" s="22" t="s">
        <v>311</v>
      </c>
      <c r="B160" s="22" t="s">
        <v>312</v>
      </c>
      <c r="C160" s="29">
        <v>99.0</v>
      </c>
      <c r="D160" s="29">
        <v>2.5</v>
      </c>
      <c r="E160" s="29"/>
      <c r="F160" s="29"/>
      <c r="G160" s="29"/>
      <c r="H160" s="29">
        <v>0.96</v>
      </c>
      <c r="I160" s="29">
        <v>3.0</v>
      </c>
    </row>
    <row r="161" ht="14.25" customHeight="1">
      <c r="A161" s="22" t="s">
        <v>313</v>
      </c>
      <c r="B161" s="22" t="s">
        <v>314</v>
      </c>
      <c r="C161" s="29">
        <v>92.43996876473012</v>
      </c>
      <c r="D161" s="29">
        <v>2.8</v>
      </c>
      <c r="E161" s="29"/>
      <c r="F161" s="29">
        <v>0.14380763409541863</v>
      </c>
      <c r="G161" s="29">
        <v>97.3390579223633</v>
      </c>
      <c r="H161" s="29">
        <v>0.96</v>
      </c>
      <c r="I161" s="29">
        <v>5.4</v>
      </c>
    </row>
    <row r="162" ht="14.25" customHeight="1">
      <c r="A162" s="22" t="s">
        <v>315</v>
      </c>
      <c r="B162" s="22" t="s">
        <v>316</v>
      </c>
      <c r="C162" s="29">
        <v>90.6257538469708</v>
      </c>
      <c r="D162" s="29">
        <v>18.5</v>
      </c>
      <c r="E162" s="29">
        <v>30.643726242035456</v>
      </c>
      <c r="F162" s="29">
        <v>0.37573446498382157</v>
      </c>
      <c r="G162" s="29">
        <v>57.9988594055176</v>
      </c>
      <c r="H162" s="29">
        <v>0.94</v>
      </c>
      <c r="I162" s="29">
        <v>6.8</v>
      </c>
    </row>
    <row r="163" ht="14.25" customHeight="1">
      <c r="A163" s="22" t="s">
        <v>317</v>
      </c>
      <c r="B163" s="22" t="s">
        <v>318</v>
      </c>
      <c r="C163" s="29">
        <v>99.0</v>
      </c>
      <c r="D163" s="29"/>
      <c r="E163" s="29"/>
      <c r="F163" s="29"/>
      <c r="G163" s="29">
        <v>96.5937423706055</v>
      </c>
      <c r="H163" s="29"/>
      <c r="I163" s="29">
        <v>0.5</v>
      </c>
    </row>
    <row r="164" ht="14.25" customHeight="1">
      <c r="A164" s="22" t="s">
        <v>319</v>
      </c>
      <c r="B164" s="22" t="s">
        <v>320</v>
      </c>
      <c r="C164" s="29">
        <v>94.6515652983232</v>
      </c>
      <c r="D164" s="29">
        <v>5.3</v>
      </c>
      <c r="E164" s="29"/>
      <c r="F164" s="29"/>
      <c r="G164" s="29">
        <v>95.7360763549805</v>
      </c>
      <c r="H164" s="29">
        <v>0.97</v>
      </c>
      <c r="I164" s="29">
        <v>1.3</v>
      </c>
    </row>
    <row r="165" ht="14.25" customHeight="1">
      <c r="A165" s="22" t="s">
        <v>321</v>
      </c>
      <c r="B165" s="22" t="s">
        <v>322</v>
      </c>
      <c r="C165" s="29">
        <v>50.23518094349016</v>
      </c>
      <c r="D165" s="29">
        <v>23.4</v>
      </c>
      <c r="E165" s="29">
        <v>52.69540214244214</v>
      </c>
      <c r="F165" s="29">
        <v>0.08132366567960661</v>
      </c>
      <c r="G165" s="29"/>
      <c r="H165" s="29"/>
      <c r="I165" s="29">
        <v>0.9</v>
      </c>
    </row>
    <row r="166" ht="14.25" customHeight="1">
      <c r="A166" s="22" t="s">
        <v>323</v>
      </c>
      <c r="B166" s="22" t="s">
        <v>324</v>
      </c>
      <c r="C166" s="29">
        <v>99.0</v>
      </c>
      <c r="D166" s="29">
        <v>4.2</v>
      </c>
      <c r="E166" s="29">
        <v>3.65746774862977</v>
      </c>
      <c r="F166" s="29">
        <v>0.5616019737259808</v>
      </c>
      <c r="G166" s="29">
        <v>94.544548034668</v>
      </c>
      <c r="H166" s="29">
        <v>0.98</v>
      </c>
      <c r="I166" s="29">
        <v>2.1</v>
      </c>
    </row>
    <row r="167" ht="14.25" customHeight="1">
      <c r="A167" s="22" t="s">
        <v>325</v>
      </c>
      <c r="B167" s="22" t="s">
        <v>326</v>
      </c>
      <c r="C167" s="29">
        <v>94.80580931519529</v>
      </c>
      <c r="D167" s="29">
        <v>7.0</v>
      </c>
      <c r="E167" s="29">
        <v>6.32003122812608</v>
      </c>
      <c r="F167" s="29">
        <v>0.07547734967434824</v>
      </c>
      <c r="G167" s="29">
        <v>94.497932434082</v>
      </c>
      <c r="H167" s="29">
        <v>0.96</v>
      </c>
      <c r="I167" s="29">
        <v>1.6</v>
      </c>
    </row>
    <row r="168" ht="14.25" customHeight="1">
      <c r="A168" s="22" t="s">
        <v>327</v>
      </c>
      <c r="B168" s="22" t="s">
        <v>328</v>
      </c>
      <c r="C168" s="29">
        <v>94.87631135858928</v>
      </c>
      <c r="D168" s="29">
        <v>5.2</v>
      </c>
      <c r="E168" s="29">
        <v>4.43379885135252</v>
      </c>
      <c r="F168" s="29">
        <v>0.17755542619966286</v>
      </c>
      <c r="G168" s="29">
        <v>98.4745712280273</v>
      </c>
      <c r="H168" s="29">
        <v>0.98</v>
      </c>
      <c r="I168" s="29">
        <v>2.2</v>
      </c>
    </row>
    <row r="169" ht="14.25" customHeight="1">
      <c r="A169" s="22" t="s">
        <v>329</v>
      </c>
      <c r="B169" s="22" t="s">
        <v>330</v>
      </c>
      <c r="C169" s="29">
        <v>90.36958009592065</v>
      </c>
      <c r="D169" s="29">
        <v>2.5</v>
      </c>
      <c r="E169" s="29"/>
      <c r="F169" s="29">
        <v>0.11126714350327402</v>
      </c>
      <c r="G169" s="29">
        <v>99.8000030517578</v>
      </c>
      <c r="H169" s="29">
        <v>0.98</v>
      </c>
      <c r="I169" s="29">
        <v>3.3</v>
      </c>
    </row>
    <row r="170" ht="14.25" customHeight="1">
      <c r="A170" s="22" t="s">
        <v>331</v>
      </c>
      <c r="B170" s="22" t="s">
        <v>332</v>
      </c>
      <c r="C170" s="29">
        <v>99.0</v>
      </c>
      <c r="D170" s="29">
        <v>2.5</v>
      </c>
      <c r="E170" s="29"/>
      <c r="F170" s="29"/>
      <c r="G170" s="29">
        <v>96.7799987792969</v>
      </c>
      <c r="H170" s="29">
        <v>0.97</v>
      </c>
      <c r="I170" s="29">
        <v>0.6</v>
      </c>
    </row>
    <row r="171" ht="14.25" customHeight="1">
      <c r="A171" s="22" t="s">
        <v>333</v>
      </c>
      <c r="B171" s="22" t="s">
        <v>334</v>
      </c>
      <c r="C171" s="29">
        <v>99.0</v>
      </c>
      <c r="D171" s="29"/>
      <c r="E171" s="29"/>
      <c r="F171" s="29"/>
      <c r="G171" s="29">
        <v>92.4000015258789</v>
      </c>
      <c r="H171" s="29"/>
      <c r="I171" s="29"/>
    </row>
    <row r="172" ht="14.25" customHeight="1">
      <c r="A172" s="22" t="s">
        <v>335</v>
      </c>
      <c r="B172" s="22" t="s">
        <v>336</v>
      </c>
      <c r="C172" s="29">
        <v>99.0</v>
      </c>
      <c r="D172" s="29"/>
      <c r="E172" s="29"/>
      <c r="F172" s="29">
        <v>0.060813153579111025</v>
      </c>
      <c r="G172" s="29">
        <v>97.7466888427734</v>
      </c>
      <c r="H172" s="29">
        <v>0.95</v>
      </c>
      <c r="I172" s="29">
        <v>6.1</v>
      </c>
    </row>
    <row r="173" ht="14.25" customHeight="1">
      <c r="A173" s="22" t="s">
        <v>337</v>
      </c>
      <c r="B173" s="22" t="s">
        <v>338</v>
      </c>
      <c r="C173" s="29">
        <v>99.0</v>
      </c>
      <c r="D173" s="29">
        <v>2.5</v>
      </c>
      <c r="E173" s="29"/>
      <c r="F173" s="29">
        <v>0.0025672231685872115</v>
      </c>
      <c r="G173" s="29">
        <v>98.8000030517578</v>
      </c>
      <c r="H173" s="29">
        <v>0.98</v>
      </c>
      <c r="I173" s="29">
        <v>2.2</v>
      </c>
    </row>
    <row r="174" ht="14.25" customHeight="1">
      <c r="A174" s="22" t="s">
        <v>339</v>
      </c>
      <c r="B174" s="22" t="s">
        <v>340</v>
      </c>
      <c r="C174" s="29">
        <v>92.02426809119625</v>
      </c>
      <c r="D174" s="29">
        <v>2.5</v>
      </c>
      <c r="E174" s="29">
        <v>0.55262262165272</v>
      </c>
      <c r="F174" s="29">
        <v>0.027306226072075397</v>
      </c>
      <c r="G174" s="29">
        <v>99.5999984741211</v>
      </c>
      <c r="H174" s="29">
        <v>0.98</v>
      </c>
      <c r="I174" s="29">
        <v>4.7</v>
      </c>
    </row>
    <row r="175" ht="14.25" customHeight="1">
      <c r="A175" s="22" t="s">
        <v>341</v>
      </c>
      <c r="B175" s="22" t="s">
        <v>342</v>
      </c>
      <c r="C175" s="29">
        <v>99.0</v>
      </c>
      <c r="D175" s="29"/>
      <c r="E175" s="29"/>
      <c r="F175" s="29">
        <v>0.02555755925580991</v>
      </c>
      <c r="G175" s="29"/>
      <c r="H175" s="29"/>
      <c r="I175" s="29"/>
    </row>
    <row r="176" ht="14.25" customHeight="1">
      <c r="A176" s="22" t="s">
        <v>343</v>
      </c>
      <c r="B176" s="22" t="s">
        <v>344</v>
      </c>
      <c r="C176" s="29">
        <v>99.0</v>
      </c>
      <c r="D176" s="29">
        <v>2.5</v>
      </c>
      <c r="E176" s="29"/>
      <c r="F176" s="29"/>
      <c r="G176" s="29">
        <v>99.1594314575195</v>
      </c>
      <c r="H176" s="29">
        <v>0.98</v>
      </c>
      <c r="I176" s="29">
        <v>5.8</v>
      </c>
    </row>
    <row r="177" ht="14.25" customHeight="1">
      <c r="A177" s="22" t="s">
        <v>345</v>
      </c>
      <c r="B177" s="22" t="s">
        <v>346</v>
      </c>
      <c r="C177" s="29">
        <v>97.05159793660339</v>
      </c>
      <c r="D177" s="29">
        <v>2.5</v>
      </c>
      <c r="E177" s="29"/>
      <c r="F177" s="29"/>
      <c r="G177" s="29">
        <v>99.9277725219727</v>
      </c>
      <c r="H177" s="29"/>
      <c r="I177" s="29">
        <v>8.3</v>
      </c>
    </row>
    <row r="178" ht="14.25" customHeight="1">
      <c r="A178" s="22" t="s">
        <v>347</v>
      </c>
      <c r="B178" s="22" t="s">
        <v>348</v>
      </c>
      <c r="C178" s="29">
        <v>65.10087807049236</v>
      </c>
      <c r="D178" s="29">
        <v>31.6</v>
      </c>
      <c r="E178" s="29">
        <v>4.43379885135252</v>
      </c>
      <c r="F178" s="29">
        <v>0.034331176644503886</v>
      </c>
      <c r="G178" s="29">
        <v>78.76318359375</v>
      </c>
      <c r="H178" s="29">
        <v>0.97</v>
      </c>
      <c r="I178" s="29">
        <v>3.2</v>
      </c>
    </row>
    <row r="179" ht="14.25" customHeight="1">
      <c r="A179" s="22" t="s">
        <v>349</v>
      </c>
      <c r="B179" s="22" t="s">
        <v>350</v>
      </c>
      <c r="C179" s="29">
        <v>99.0</v>
      </c>
      <c r="D179" s="29"/>
      <c r="E179" s="29"/>
      <c r="F179" s="29">
        <v>0.6902628819897738</v>
      </c>
      <c r="G179" s="29"/>
      <c r="H179" s="29"/>
      <c r="I179" s="29"/>
    </row>
    <row r="180" ht="14.25" customHeight="1">
      <c r="A180" s="22" t="s">
        <v>351</v>
      </c>
      <c r="B180" s="22" t="s">
        <v>352</v>
      </c>
      <c r="C180" s="29">
        <v>99.0</v>
      </c>
      <c r="D180" s="29"/>
      <c r="E180" s="29"/>
      <c r="F180" s="29"/>
      <c r="G180" s="29"/>
      <c r="H180" s="29"/>
      <c r="I180" s="29"/>
    </row>
    <row r="181" ht="14.25" customHeight="1">
      <c r="A181" s="22" t="s">
        <v>353</v>
      </c>
      <c r="B181" s="22" t="s">
        <v>354</v>
      </c>
      <c r="C181" s="29"/>
      <c r="D181" s="29"/>
      <c r="E181" s="29"/>
      <c r="F181" s="29"/>
      <c r="G181" s="29"/>
      <c r="H181" s="29"/>
      <c r="I181" s="29">
        <v>1.0</v>
      </c>
    </row>
    <row r="182" ht="14.25" customHeight="1">
      <c r="A182" s="22" t="s">
        <v>355</v>
      </c>
      <c r="B182" s="22" t="s">
        <v>356</v>
      </c>
      <c r="C182" s="29">
        <v>96.88866058169151</v>
      </c>
      <c r="D182" s="29"/>
      <c r="E182" s="29">
        <v>1.10347781919339</v>
      </c>
      <c r="F182" s="29"/>
      <c r="G182" s="29"/>
      <c r="H182" s="29"/>
      <c r="I182" s="29">
        <v>2.3</v>
      </c>
    </row>
    <row r="183" ht="14.25" customHeight="1">
      <c r="A183" s="22" t="s">
        <v>357</v>
      </c>
      <c r="B183" s="22" t="s">
        <v>358</v>
      </c>
      <c r="C183" s="29">
        <v>99.0</v>
      </c>
      <c r="D183" s="29"/>
      <c r="E183" s="29"/>
      <c r="F183" s="29"/>
      <c r="G183" s="29"/>
      <c r="H183" s="29"/>
      <c r="I183" s="29"/>
    </row>
    <row r="184" ht="14.25" customHeight="1">
      <c r="A184" s="22" t="s">
        <v>359</v>
      </c>
      <c r="B184" s="22" t="s">
        <v>360</v>
      </c>
      <c r="C184" s="29"/>
      <c r="D184" s="29"/>
      <c r="E184" s="29"/>
      <c r="F184" s="29"/>
      <c r="G184" s="29"/>
      <c r="H184" s="29"/>
      <c r="I184" s="29"/>
    </row>
    <row r="185" ht="14.25" customHeight="1">
      <c r="A185" s="22" t="s">
        <v>361</v>
      </c>
      <c r="B185" s="22" t="s">
        <v>362</v>
      </c>
      <c r="C185" s="29"/>
      <c r="D185" s="29">
        <v>3.1</v>
      </c>
      <c r="E185" s="29"/>
      <c r="F185" s="29"/>
      <c r="G185" s="29"/>
      <c r="H185" s="29"/>
      <c r="I185" s="29">
        <v>1.0</v>
      </c>
    </row>
    <row r="186" ht="14.25" customHeight="1">
      <c r="A186" s="22" t="s">
        <v>363</v>
      </c>
      <c r="B186" s="22" t="s">
        <v>364</v>
      </c>
      <c r="C186" s="29">
        <v>99.0</v>
      </c>
      <c r="D186" s="29">
        <v>4.6</v>
      </c>
      <c r="E186" s="29">
        <v>0.01462739272189</v>
      </c>
      <c r="F186" s="29"/>
      <c r="G186" s="29">
        <v>99.0999984741211</v>
      </c>
      <c r="H186" s="29"/>
      <c r="I186" s="29">
        <v>1.0</v>
      </c>
    </row>
    <row r="187" ht="14.25" customHeight="1">
      <c r="A187" s="22" t="s">
        <v>365</v>
      </c>
      <c r="B187" s="22" t="s">
        <v>366</v>
      </c>
      <c r="C187" s="29">
        <v>99.0</v>
      </c>
      <c r="D187" s="29"/>
      <c r="E187" s="29"/>
      <c r="F187" s="29"/>
      <c r="G187" s="29">
        <v>99.9147567749023</v>
      </c>
      <c r="H187" s="29"/>
      <c r="I187" s="29">
        <v>0.6</v>
      </c>
    </row>
    <row r="188" ht="14.25" customHeight="1">
      <c r="A188" s="22" t="s">
        <v>367</v>
      </c>
      <c r="B188" s="22" t="s">
        <v>368</v>
      </c>
      <c r="C188" s="29">
        <v>77.34111653299011</v>
      </c>
      <c r="D188" s="29">
        <v>13.1</v>
      </c>
      <c r="E188" s="29">
        <v>0.45482195395297</v>
      </c>
      <c r="F188" s="29"/>
      <c r="G188" s="29">
        <v>93.75</v>
      </c>
      <c r="H188" s="29"/>
      <c r="I188" s="29">
        <v>0.9</v>
      </c>
    </row>
    <row r="189" ht="14.25" customHeight="1">
      <c r="A189" s="22" t="s">
        <v>369</v>
      </c>
      <c r="B189" s="22" t="s">
        <v>370</v>
      </c>
      <c r="C189" s="29">
        <v>98.64975821578054</v>
      </c>
      <c r="D189" s="29">
        <v>3.8</v>
      </c>
      <c r="E189" s="29"/>
      <c r="F189" s="29"/>
      <c r="G189" s="29">
        <v>97.5850677490234</v>
      </c>
      <c r="H189" s="29">
        <v>0.96</v>
      </c>
      <c r="I189" s="29">
        <v>6.6</v>
      </c>
    </row>
    <row r="190" ht="14.25" customHeight="1">
      <c r="A190" s="22" t="s">
        <v>371</v>
      </c>
      <c r="B190" s="22" t="s">
        <v>372</v>
      </c>
      <c r="C190" s="29">
        <v>86.2497738333803</v>
      </c>
      <c r="D190" s="29">
        <v>5.7</v>
      </c>
      <c r="E190" s="29">
        <v>22.52622654840371</v>
      </c>
      <c r="F190" s="29">
        <v>0.05001026041978847</v>
      </c>
      <c r="G190" s="29">
        <v>57.6699981689453</v>
      </c>
      <c r="H190" s="29">
        <v>0.97</v>
      </c>
      <c r="I190" s="29">
        <v>0.7</v>
      </c>
    </row>
    <row r="191" ht="14.25" customHeight="1">
      <c r="A191" s="22" t="s">
        <v>373</v>
      </c>
      <c r="B191" s="22" t="s">
        <v>374</v>
      </c>
      <c r="C191" s="29">
        <v>95.67813707562306</v>
      </c>
      <c r="D191" s="29">
        <v>2.5</v>
      </c>
      <c r="E191" s="29">
        <v>0.04688621010735</v>
      </c>
      <c r="F191" s="29">
        <v>0.3518372795522274</v>
      </c>
      <c r="G191" s="29">
        <v>99.4825286865234</v>
      </c>
      <c r="H191" s="29">
        <v>0.97</v>
      </c>
      <c r="I191" s="29">
        <v>3.3</v>
      </c>
    </row>
    <row r="192" ht="14.25" customHeight="1">
      <c r="A192" s="22" t="s">
        <v>375</v>
      </c>
      <c r="B192" s="22" t="s">
        <v>376</v>
      </c>
      <c r="C192" s="29">
        <v>96.41884355898628</v>
      </c>
      <c r="D192" s="29">
        <v>4.3</v>
      </c>
      <c r="E192" s="29">
        <v>0.0</v>
      </c>
      <c r="F192" s="29">
        <v>0.08900919184572562</v>
      </c>
      <c r="G192" s="29">
        <v>96.1999969482422</v>
      </c>
      <c r="H192" s="29"/>
      <c r="I192" s="29">
        <v>2.7</v>
      </c>
    </row>
    <row r="193" ht="14.25" customHeight="1">
      <c r="A193" s="22" t="s">
        <v>377</v>
      </c>
      <c r="B193" s="22" t="s">
        <v>378</v>
      </c>
      <c r="C193" s="29">
        <v>65.34011789308197</v>
      </c>
      <c r="D193" s="29">
        <v>27.8</v>
      </c>
      <c r="E193" s="29">
        <v>40.159610937390426</v>
      </c>
      <c r="F193" s="29"/>
      <c r="G193" s="29">
        <v>48.6399993896484</v>
      </c>
      <c r="H193" s="29">
        <v>0.97</v>
      </c>
      <c r="I193" s="29">
        <v>2.1</v>
      </c>
    </row>
    <row r="194" ht="14.25" customHeight="1">
      <c r="A194" s="22" t="s">
        <v>379</v>
      </c>
      <c r="B194" s="22" t="s">
        <v>380</v>
      </c>
      <c r="C194" s="29">
        <v>99.0</v>
      </c>
      <c r="D194" s="29"/>
      <c r="E194" s="29"/>
      <c r="F194" s="29">
        <v>0.6334720790187751</v>
      </c>
      <c r="G194" s="29">
        <v>97.6475296020508</v>
      </c>
      <c r="H194" s="29">
        <v>0.96</v>
      </c>
      <c r="I194" s="29">
        <v>6.9</v>
      </c>
    </row>
    <row r="195" ht="14.25" customHeight="1">
      <c r="A195" s="22" t="s">
        <v>381</v>
      </c>
      <c r="B195" s="22" t="s">
        <v>382</v>
      </c>
      <c r="C195" s="29"/>
      <c r="D195" s="29"/>
      <c r="E195" s="29"/>
      <c r="F195" s="29"/>
      <c r="G195" s="29"/>
      <c r="H195" s="29"/>
      <c r="I195" s="29"/>
    </row>
    <row r="196" ht="14.25" customHeight="1">
      <c r="A196" s="22" t="s">
        <v>383</v>
      </c>
      <c r="B196" s="22" t="s">
        <v>384</v>
      </c>
      <c r="C196" s="29">
        <v>99.0</v>
      </c>
      <c r="D196" s="29">
        <v>2.8</v>
      </c>
      <c r="E196" s="29"/>
      <c r="F196" s="29"/>
      <c r="G196" s="29"/>
      <c r="H196" s="29">
        <v>0.98</v>
      </c>
      <c r="I196" s="29">
        <v>3.0</v>
      </c>
    </row>
    <row r="197" ht="14.25" customHeight="1">
      <c r="A197" s="22" t="s">
        <v>385</v>
      </c>
      <c r="B197" s="22" t="s">
        <v>386</v>
      </c>
      <c r="C197" s="29">
        <v>99.0</v>
      </c>
      <c r="D197" s="29">
        <v>2.5</v>
      </c>
      <c r="E197" s="29"/>
      <c r="F197" s="29"/>
      <c r="G197" s="29"/>
      <c r="H197" s="29">
        <v>0.98</v>
      </c>
      <c r="I197" s="29">
        <v>2.5</v>
      </c>
    </row>
    <row r="198" ht="14.25" customHeight="1">
      <c r="A198" s="22" t="s">
        <v>387</v>
      </c>
      <c r="B198" s="22" t="s">
        <v>388</v>
      </c>
      <c r="C198" s="29"/>
      <c r="D198" s="29">
        <v>19.0</v>
      </c>
      <c r="E198" s="29"/>
      <c r="F198" s="29"/>
      <c r="G198" s="29"/>
      <c r="H198" s="29"/>
      <c r="I198" s="29">
        <v>1.1</v>
      </c>
    </row>
    <row r="199" ht="14.25" customHeight="1">
      <c r="A199" s="22" t="s">
        <v>389</v>
      </c>
      <c r="B199" s="22" t="s">
        <v>390</v>
      </c>
      <c r="C199" s="29">
        <v>58.25950307442277</v>
      </c>
      <c r="D199" s="29">
        <v>48.7</v>
      </c>
      <c r="E199" s="29"/>
      <c r="F199" s="29">
        <v>0.6918455474444918</v>
      </c>
      <c r="G199" s="29">
        <v>41.0250015258789</v>
      </c>
      <c r="H199" s="29"/>
      <c r="I199" s="29">
        <v>4.7</v>
      </c>
    </row>
    <row r="200" ht="14.25" customHeight="1">
      <c r="A200" s="22" t="s">
        <v>391</v>
      </c>
      <c r="B200" s="22" t="s">
        <v>392</v>
      </c>
      <c r="C200" s="29">
        <v>94.4920893511476</v>
      </c>
      <c r="D200" s="29">
        <v>7.9</v>
      </c>
      <c r="E200" s="29">
        <v>4.156268439834769</v>
      </c>
      <c r="F200" s="29">
        <v>0.8504502541491498</v>
      </c>
      <c r="G200" s="29">
        <v>90.0013580322266</v>
      </c>
      <c r="H200" s="29">
        <v>0.98</v>
      </c>
      <c r="I200" s="29">
        <v>1.3</v>
      </c>
    </row>
    <row r="201" ht="14.25" customHeight="1">
      <c r="A201" s="22" t="s">
        <v>393</v>
      </c>
      <c r="B201" s="22" t="s">
        <v>394</v>
      </c>
      <c r="C201" s="29">
        <v>41.18659284636204</v>
      </c>
      <c r="D201" s="29">
        <v>21.4</v>
      </c>
      <c r="E201" s="29"/>
      <c r="F201" s="29">
        <v>0.42976986876337453</v>
      </c>
      <c r="G201" s="29">
        <v>34.5227584838867</v>
      </c>
      <c r="H201" s="29"/>
      <c r="I201" s="29">
        <v>3.9</v>
      </c>
    </row>
    <row r="202" ht="14.25" customHeight="1">
      <c r="A202" s="22" t="s">
        <v>395</v>
      </c>
      <c r="B202" s="22" t="s">
        <v>396</v>
      </c>
      <c r="C202" s="29">
        <v>99.0</v>
      </c>
      <c r="D202" s="29">
        <v>2.5</v>
      </c>
      <c r="E202" s="29"/>
      <c r="F202" s="29"/>
      <c r="G202" s="29">
        <v>98.5944595336914</v>
      </c>
      <c r="H202" s="29">
        <v>0.96</v>
      </c>
      <c r="I202" s="29">
        <v>3.9</v>
      </c>
    </row>
    <row r="203" ht="14.25" customHeight="1">
      <c r="A203" s="22" t="s">
        <v>397</v>
      </c>
      <c r="B203" s="22" t="s">
        <v>398</v>
      </c>
      <c r="C203" s="29">
        <v>89.31010728948112</v>
      </c>
      <c r="D203" s="29">
        <v>5.3</v>
      </c>
      <c r="E203" s="29">
        <v>1.46228466925295</v>
      </c>
      <c r="F203" s="29"/>
      <c r="G203" s="29">
        <v>92.4924087524414</v>
      </c>
      <c r="H203" s="29">
        <v>0.98</v>
      </c>
      <c r="I203" s="29">
        <v>6.1</v>
      </c>
    </row>
    <row r="204" ht="14.25" customHeight="1">
      <c r="A204" s="22" t="s">
        <v>399</v>
      </c>
      <c r="B204" s="22" t="s">
        <v>400</v>
      </c>
      <c r="C204" s="29">
        <v>98.44464031502189</v>
      </c>
      <c r="D204" s="29"/>
      <c r="E204" s="29">
        <v>0.05199054083291</v>
      </c>
      <c r="F204" s="29">
        <v>0.20991330181372603</v>
      </c>
      <c r="G204" s="29">
        <v>97.8438415527344</v>
      </c>
      <c r="H204" s="29"/>
      <c r="I204" s="29">
        <v>3.8</v>
      </c>
    </row>
    <row r="205" ht="14.25" customHeight="1">
      <c r="A205" s="22" t="s">
        <v>401</v>
      </c>
      <c r="B205" s="22" t="s">
        <v>402</v>
      </c>
      <c r="C205" s="29">
        <v>64.92007532335202</v>
      </c>
      <c r="D205" s="29">
        <v>11.9</v>
      </c>
      <c r="E205" s="29">
        <v>51.8593137969985</v>
      </c>
      <c r="F205" s="29">
        <v>0.6316299067717507</v>
      </c>
      <c r="G205" s="29">
        <v>60.6971817016602</v>
      </c>
      <c r="H205" s="29"/>
      <c r="I205" s="29">
        <v>3.2</v>
      </c>
    </row>
    <row r="206" ht="14.25" customHeight="1">
      <c r="A206" s="22" t="s">
        <v>403</v>
      </c>
      <c r="B206" s="22" t="s">
        <v>404</v>
      </c>
      <c r="C206" s="29">
        <v>97.99301333513814</v>
      </c>
      <c r="D206" s="29">
        <v>9.0</v>
      </c>
      <c r="E206" s="29">
        <v>1.24367171806771</v>
      </c>
      <c r="F206" s="29">
        <v>0.3962043223888232</v>
      </c>
      <c r="G206" s="29">
        <v>95.0</v>
      </c>
      <c r="H206" s="29">
        <v>0.97</v>
      </c>
      <c r="I206" s="29">
        <v>1.1</v>
      </c>
    </row>
    <row r="207" ht="14.25" customHeight="1">
      <c r="A207" s="22" t="s">
        <v>405</v>
      </c>
      <c r="B207" s="22" t="s">
        <v>406</v>
      </c>
      <c r="C207" s="29">
        <v>99.0</v>
      </c>
      <c r="D207" s="29">
        <v>2.5</v>
      </c>
      <c r="E207" s="29"/>
      <c r="F207" s="29"/>
      <c r="G207" s="29"/>
      <c r="H207" s="29">
        <v>0.96</v>
      </c>
      <c r="I207" s="29">
        <v>2.3</v>
      </c>
    </row>
    <row r="208" ht="14.25" customHeight="1">
      <c r="A208" s="22" t="s">
        <v>407</v>
      </c>
      <c r="B208" s="22" t="s">
        <v>408</v>
      </c>
      <c r="C208" s="29">
        <v>99.0</v>
      </c>
      <c r="D208" s="29">
        <v>2.5</v>
      </c>
      <c r="E208" s="29"/>
      <c r="F208" s="29"/>
      <c r="G208" s="29"/>
      <c r="H208" s="29">
        <v>0.96</v>
      </c>
      <c r="I208" s="29">
        <v>2.6</v>
      </c>
    </row>
    <row r="209" ht="14.25" customHeight="1">
      <c r="A209" s="22" t="s">
        <v>409</v>
      </c>
      <c r="B209" s="22" t="s">
        <v>410</v>
      </c>
      <c r="C209" s="29">
        <v>94.07793298339496</v>
      </c>
      <c r="D209" s="29">
        <v>27.8</v>
      </c>
      <c r="E209" s="29"/>
      <c r="F209" s="29">
        <v>0.8772607912250657</v>
      </c>
      <c r="G209" s="29">
        <v>94.4191436767578</v>
      </c>
      <c r="H209" s="29"/>
      <c r="I209" s="29">
        <v>8.0</v>
      </c>
    </row>
    <row r="210" ht="14.25" customHeight="1">
      <c r="A210" s="22" t="s">
        <v>411</v>
      </c>
      <c r="B210" s="22" t="s">
        <v>412</v>
      </c>
      <c r="C210" s="29">
        <v>81.9399075495213</v>
      </c>
      <c r="D210" s="29">
        <v>9.3</v>
      </c>
      <c r="E210" s="29">
        <v>5.67857319444786</v>
      </c>
      <c r="F210" s="29">
        <v>0.18305029166904757</v>
      </c>
      <c r="G210" s="29"/>
      <c r="H210" s="29">
        <v>0.97</v>
      </c>
      <c r="I210" s="29">
        <v>7.8</v>
      </c>
    </row>
    <row r="211" ht="14.25" customHeight="1">
      <c r="A211" s="22" t="s">
        <v>413</v>
      </c>
      <c r="B211" s="22" t="s">
        <v>414</v>
      </c>
      <c r="C211" s="29">
        <v>99.0</v>
      </c>
      <c r="D211" s="29">
        <v>5.2</v>
      </c>
      <c r="E211" s="29">
        <v>0.10284211879760001</v>
      </c>
      <c r="F211" s="29">
        <v>0.011583626116375595</v>
      </c>
      <c r="G211" s="29">
        <v>94.0999984741211</v>
      </c>
      <c r="H211" s="29">
        <v>0.98</v>
      </c>
      <c r="I211" s="29">
        <v>5.1</v>
      </c>
    </row>
    <row r="212" ht="14.25" customHeight="1">
      <c r="A212" s="22" t="s">
        <v>415</v>
      </c>
      <c r="B212" s="22" t="s">
        <v>416</v>
      </c>
      <c r="C212" s="29">
        <v>87.0186359918728</v>
      </c>
      <c r="D212" s="29">
        <v>22.3</v>
      </c>
      <c r="E212" s="29">
        <v>41.86054495181857</v>
      </c>
      <c r="F212" s="29">
        <v>0.7158324732249373</v>
      </c>
      <c r="G212" s="29">
        <v>69.9000015258789</v>
      </c>
      <c r="H212" s="29">
        <v>0.97</v>
      </c>
      <c r="I212" s="29">
        <v>0.9</v>
      </c>
    </row>
    <row r="213" ht="14.25" customHeight="1">
      <c r="A213" s="22" t="s">
        <v>417</v>
      </c>
      <c r="B213" s="22" t="s">
        <v>418</v>
      </c>
      <c r="C213" s="29">
        <v>70.99071605879496</v>
      </c>
      <c r="D213" s="29">
        <v>17.4</v>
      </c>
      <c r="E213" s="29">
        <v>24.80149415738552</v>
      </c>
      <c r="F213" s="29">
        <v>0.44987131101039496</v>
      </c>
      <c r="G213" s="29">
        <v>66.5370788574219</v>
      </c>
      <c r="H213" s="29">
        <v>0.98</v>
      </c>
      <c r="I213" s="29">
        <v>2.7</v>
      </c>
    </row>
    <row r="214" ht="14.25" customHeight="1">
      <c r="A214" s="22" t="s">
        <v>419</v>
      </c>
      <c r="B214" s="22" t="s">
        <v>420</v>
      </c>
      <c r="C214" s="29">
        <v>99.0</v>
      </c>
      <c r="D214" s="29"/>
      <c r="E214" s="29"/>
      <c r="F214" s="29"/>
      <c r="G214" s="29"/>
      <c r="H214" s="29"/>
      <c r="I214" s="29"/>
    </row>
    <row r="215" ht="14.25" customHeight="1">
      <c r="A215" s="22" t="s">
        <v>421</v>
      </c>
      <c r="B215" s="22" t="s">
        <v>422</v>
      </c>
      <c r="C215" s="29">
        <v>98.81207613966934</v>
      </c>
      <c r="D215" s="29"/>
      <c r="E215" s="29">
        <v>0.70497796587968</v>
      </c>
      <c r="F215" s="29"/>
      <c r="G215" s="29">
        <v>99.4000015258789</v>
      </c>
      <c r="H215" s="29"/>
      <c r="I215" s="29">
        <v>2.0</v>
      </c>
    </row>
    <row r="216" ht="14.25" customHeight="1">
      <c r="A216" s="22" t="s">
        <v>423</v>
      </c>
      <c r="B216" s="22" t="s">
        <v>424</v>
      </c>
      <c r="C216" s="29">
        <v>98.87517076923064</v>
      </c>
      <c r="D216" s="29">
        <v>12.2</v>
      </c>
      <c r="E216" s="29"/>
      <c r="F216" s="29">
        <v>0.04577346947163231</v>
      </c>
      <c r="G216" s="29"/>
      <c r="H216" s="29"/>
      <c r="I216" s="29">
        <v>1.2</v>
      </c>
    </row>
    <row r="217" ht="14.25" customHeight="1">
      <c r="A217" s="22" t="s">
        <v>425</v>
      </c>
      <c r="B217" s="22" t="s">
        <v>426</v>
      </c>
      <c r="C217" s="29">
        <v>97.18173125367014</v>
      </c>
      <c r="D217" s="29">
        <v>3.0</v>
      </c>
      <c r="E217" s="29">
        <v>0.07460855067669</v>
      </c>
      <c r="F217" s="29">
        <v>0.15759120044955163</v>
      </c>
      <c r="G217" s="29">
        <v>80.5475769042969</v>
      </c>
      <c r="H217" s="29">
        <v>0.97</v>
      </c>
      <c r="I217" s="29">
        <v>5.8</v>
      </c>
    </row>
    <row r="218" ht="14.25" customHeight="1">
      <c r="A218" s="22" t="s">
        <v>427</v>
      </c>
      <c r="B218" s="22" t="s">
        <v>428</v>
      </c>
      <c r="C218" s="29">
        <v>97.02618824452678</v>
      </c>
      <c r="D218" s="29">
        <v>2.5</v>
      </c>
      <c r="E218" s="29"/>
      <c r="F218" s="29">
        <v>0.09770435349910724</v>
      </c>
      <c r="G218" s="29">
        <v>96.7422103881836</v>
      </c>
      <c r="H218" s="29">
        <v>0.97</v>
      </c>
      <c r="I218" s="29">
        <v>6.2</v>
      </c>
    </row>
    <row r="219" ht="14.25" customHeight="1">
      <c r="A219" s="22" t="s">
        <v>429</v>
      </c>
      <c r="B219" s="22" t="s">
        <v>430</v>
      </c>
      <c r="C219" s="29">
        <v>99.0</v>
      </c>
      <c r="D219" s="29">
        <v>5.7</v>
      </c>
      <c r="E219" s="29">
        <v>0.02673029320483</v>
      </c>
      <c r="F219" s="29">
        <v>0.0781986719942231</v>
      </c>
      <c r="G219" s="29"/>
      <c r="H219" s="29"/>
      <c r="I219" s="29">
        <v>7.1</v>
      </c>
    </row>
    <row r="220" ht="14.25" customHeight="1">
      <c r="A220" s="22" t="s">
        <v>431</v>
      </c>
      <c r="B220" s="22" t="s">
        <v>432</v>
      </c>
      <c r="C220" s="29">
        <v>98.8035417706889</v>
      </c>
      <c r="D220" s="29"/>
      <c r="E220" s="29"/>
      <c r="F220" s="29"/>
      <c r="G220" s="29"/>
      <c r="H220" s="29"/>
      <c r="I220" s="29"/>
    </row>
    <row r="221" ht="14.25" customHeight="1">
      <c r="A221" s="22" t="s">
        <v>433</v>
      </c>
      <c r="B221" s="22" t="s">
        <v>434</v>
      </c>
      <c r="C221" s="29">
        <v>99.0</v>
      </c>
      <c r="D221" s="29"/>
      <c r="E221" s="29">
        <v>0.31612141393196</v>
      </c>
      <c r="F221" s="29"/>
      <c r="G221" s="29"/>
      <c r="H221" s="29"/>
      <c r="I221" s="29">
        <v>2.2</v>
      </c>
    </row>
    <row r="222" ht="14.25" customHeight="1">
      <c r="A222" s="22" t="s">
        <v>435</v>
      </c>
      <c r="B222" s="22" t="s">
        <v>436</v>
      </c>
      <c r="C222" s="29">
        <v>59.25960900910176</v>
      </c>
      <c r="D222" s="29">
        <v>31.6</v>
      </c>
      <c r="E222" s="29">
        <v>49.70134983741004</v>
      </c>
      <c r="F222" s="29">
        <v>0.6855648866520434</v>
      </c>
      <c r="G222" s="29">
        <v>80.5899963378906</v>
      </c>
      <c r="H222" s="29">
        <v>0.98</v>
      </c>
      <c r="I222" s="29">
        <v>2.5</v>
      </c>
    </row>
    <row r="223" ht="14.25" customHeight="1">
      <c r="A223" s="22" t="s">
        <v>437</v>
      </c>
      <c r="B223" s="22" t="s">
        <v>438</v>
      </c>
      <c r="C223" s="29">
        <v>93.58979837903448</v>
      </c>
      <c r="D223" s="29">
        <v>4.8</v>
      </c>
      <c r="E223" s="29">
        <v>0.01462739272189</v>
      </c>
      <c r="F223" s="29"/>
      <c r="G223" s="29">
        <v>100.0</v>
      </c>
      <c r="H223" s="29">
        <v>0.98</v>
      </c>
      <c r="I223" s="29">
        <v>4.1</v>
      </c>
    </row>
    <row r="224" ht="14.25" customHeight="1">
      <c r="A224" s="22" t="s">
        <v>439</v>
      </c>
      <c r="B224" s="22" t="s">
        <v>440</v>
      </c>
      <c r="C224" s="29">
        <v>99.0</v>
      </c>
      <c r="D224" s="29">
        <v>2.5</v>
      </c>
      <c r="E224" s="29"/>
      <c r="F224" s="29">
        <v>0.028031769969155018</v>
      </c>
      <c r="G224" s="29">
        <v>98.2854080200195</v>
      </c>
      <c r="H224" s="29">
        <v>0.96</v>
      </c>
      <c r="I224" s="29">
        <v>6.0</v>
      </c>
    </row>
    <row r="225" ht="14.25" customHeight="1">
      <c r="A225" s="22" t="s">
        <v>441</v>
      </c>
      <c r="B225" s="22" t="s">
        <v>442</v>
      </c>
      <c r="C225" s="29">
        <v>99.0</v>
      </c>
      <c r="D225" s="29">
        <v>2.5</v>
      </c>
      <c r="E225" s="29"/>
      <c r="F225" s="29"/>
      <c r="G225" s="29"/>
      <c r="H225" s="29">
        <v>0.96</v>
      </c>
      <c r="I225" s="29">
        <v>3.4</v>
      </c>
    </row>
    <row r="226" ht="14.25" customHeight="1">
      <c r="A226" s="22" t="s">
        <v>443</v>
      </c>
      <c r="B226" s="22" t="s">
        <v>444</v>
      </c>
      <c r="C226" s="29">
        <v>60.79115702961731</v>
      </c>
      <c r="D226" s="29">
        <v>23.5</v>
      </c>
      <c r="E226" s="29">
        <v>47.37496805711575</v>
      </c>
      <c r="F226" s="29">
        <v>0.7272225423611002</v>
      </c>
      <c r="G226" s="29">
        <v>82.0199966430664</v>
      </c>
      <c r="H226" s="29">
        <v>0.97</v>
      </c>
      <c r="I226" s="29">
        <v>5.2</v>
      </c>
    </row>
    <row r="227" ht="14.25" customHeight="1">
      <c r="A227" s="22" t="s">
        <v>445</v>
      </c>
      <c r="B227" s="22" t="s">
        <v>446</v>
      </c>
      <c r="C227" s="29"/>
      <c r="D227" s="29"/>
      <c r="E227" s="29"/>
      <c r="F227" s="29"/>
      <c r="G227" s="29"/>
      <c r="H227" s="29"/>
      <c r="I227" s="29"/>
    </row>
    <row r="228" ht="14.25" customHeight="1">
      <c r="A228" s="22" t="s">
        <v>447</v>
      </c>
      <c r="B228" s="22" t="s">
        <v>448</v>
      </c>
      <c r="C228" s="29">
        <v>99.0</v>
      </c>
      <c r="D228" s="29">
        <v>2.5</v>
      </c>
      <c r="E228" s="29"/>
      <c r="F228" s="29"/>
      <c r="G228" s="29"/>
      <c r="H228" s="29">
        <v>0.97</v>
      </c>
      <c r="I228" s="29">
        <v>2.4</v>
      </c>
    </row>
    <row r="229" ht="14.25" customHeight="1">
      <c r="A229" s="22" t="s">
        <v>449</v>
      </c>
      <c r="B229" s="22" t="s">
        <v>450</v>
      </c>
      <c r="C229" s="29">
        <v>99.0</v>
      </c>
      <c r="D229" s="29">
        <v>2.5</v>
      </c>
      <c r="E229" s="29"/>
      <c r="F229" s="29">
        <v>0.0866749966481026</v>
      </c>
      <c r="G229" s="29">
        <v>98.7703475952148</v>
      </c>
      <c r="H229" s="29">
        <v>0.98</v>
      </c>
      <c r="I229" s="29">
        <v>0.9</v>
      </c>
    </row>
    <row r="230" ht="14.25" customHeight="1">
      <c r="A230" s="22" t="s">
        <v>451</v>
      </c>
      <c r="B230" s="22" t="s">
        <v>452</v>
      </c>
      <c r="C230" s="29">
        <v>96.62280995801162</v>
      </c>
      <c r="D230" s="29">
        <v>2.5</v>
      </c>
      <c r="E230" s="29">
        <v>0.26839139673653</v>
      </c>
      <c r="F230" s="29">
        <v>0.5766988872369054</v>
      </c>
      <c r="G230" s="29">
        <v>99.9999771118164</v>
      </c>
      <c r="H230" s="29"/>
      <c r="I230" s="29">
        <v>8.0</v>
      </c>
    </row>
    <row r="231" ht="14.25" customHeight="1">
      <c r="A231" s="22" t="s">
        <v>453</v>
      </c>
      <c r="B231" s="22" t="s">
        <v>454</v>
      </c>
      <c r="C231" s="29">
        <v>91.33751629483986</v>
      </c>
      <c r="D231" s="29">
        <v>9.5</v>
      </c>
      <c r="E231" s="29"/>
      <c r="F231" s="29"/>
      <c r="G231" s="29">
        <v>89.0999984741211</v>
      </c>
      <c r="H231" s="29">
        <v>0.98</v>
      </c>
      <c r="I231" s="29">
        <v>1.5</v>
      </c>
    </row>
    <row r="232" ht="14.25" customHeight="1">
      <c r="A232" s="22" t="s">
        <v>455</v>
      </c>
      <c r="B232" s="22" t="s">
        <v>456</v>
      </c>
      <c r="C232" s="29">
        <v>93.33161098943037</v>
      </c>
      <c r="D232" s="29">
        <v>17.9</v>
      </c>
      <c r="E232" s="29"/>
      <c r="F232" s="29">
        <v>0.518940659377961</v>
      </c>
      <c r="G232" s="29">
        <v>97.5999984741211</v>
      </c>
      <c r="H232" s="29"/>
      <c r="I232" s="29">
        <v>2.8</v>
      </c>
    </row>
    <row r="233" ht="14.25" customHeight="1">
      <c r="A233" s="22" t="s">
        <v>457</v>
      </c>
      <c r="B233" s="22" t="s">
        <v>458</v>
      </c>
      <c r="C233" s="29">
        <v>97.95681658431555</v>
      </c>
      <c r="D233" s="29">
        <v>5.0</v>
      </c>
      <c r="E233" s="29">
        <v>49.70134983741004</v>
      </c>
      <c r="F233" s="29">
        <v>0.05594702107530804</v>
      </c>
      <c r="G233" s="29">
        <v>96.1332626342773</v>
      </c>
      <c r="H233" s="29">
        <v>0.95</v>
      </c>
      <c r="I233" s="29">
        <v>6.3</v>
      </c>
    </row>
    <row r="234" ht="14.25" customHeight="1">
      <c r="A234" s="22" t="s">
        <v>459</v>
      </c>
      <c r="B234" s="22" t="s">
        <v>460</v>
      </c>
      <c r="C234" s="29">
        <v>99.0</v>
      </c>
      <c r="D234" s="29"/>
      <c r="E234" s="29"/>
      <c r="F234" s="29"/>
      <c r="G234" s="29"/>
      <c r="H234" s="29"/>
      <c r="I234" s="29"/>
    </row>
    <row r="235" ht="14.25" customHeight="1">
      <c r="A235" s="22" t="s">
        <v>461</v>
      </c>
      <c r="B235" s="22" t="s">
        <v>462</v>
      </c>
      <c r="C235" s="29"/>
      <c r="D235" s="29"/>
      <c r="E235" s="29"/>
      <c r="F235" s="29"/>
      <c r="G235" s="29"/>
      <c r="H235" s="29"/>
      <c r="I235" s="29">
        <v>5.8</v>
      </c>
    </row>
    <row r="236" ht="14.25" customHeight="1">
      <c r="A236" s="22" t="s">
        <v>463</v>
      </c>
      <c r="B236" s="22" t="s">
        <v>464</v>
      </c>
      <c r="C236" s="29">
        <v>61.75824370292346</v>
      </c>
      <c r="D236" s="29">
        <v>34.5</v>
      </c>
      <c r="E236" s="29">
        <v>45.79826148632399</v>
      </c>
      <c r="F236" s="29">
        <v>0.8357204407401149</v>
      </c>
      <c r="G236" s="29"/>
      <c r="H236" s="29"/>
      <c r="I236" s="29">
        <v>5.5</v>
      </c>
    </row>
    <row r="237" ht="14.25" customHeight="1">
      <c r="A237" s="22" t="s">
        <v>465</v>
      </c>
      <c r="B237" s="22" t="s">
        <v>466</v>
      </c>
      <c r="C237" s="29">
        <v>68.24780650270817</v>
      </c>
      <c r="D237" s="29">
        <v>29.8</v>
      </c>
      <c r="E237" s="29">
        <v>40.23575450049146</v>
      </c>
      <c r="F237" s="29">
        <v>0.7788136581148629</v>
      </c>
      <c r="G237" s="29">
        <v>87.5</v>
      </c>
      <c r="H237" s="29">
        <v>0.98</v>
      </c>
      <c r="I237" s="29">
        <v>3.5</v>
      </c>
    </row>
    <row r="238" ht="14.25" customHeight="1">
      <c r="A238" s="22" t="s">
        <v>467</v>
      </c>
      <c r="B238" s="22" t="s">
        <v>468</v>
      </c>
      <c r="C238" s="29">
        <v>62.29425496174949</v>
      </c>
      <c r="D238" s="29">
        <v>38.4</v>
      </c>
      <c r="E238" s="29">
        <v>16.35132603514205</v>
      </c>
      <c r="F238" s="29">
        <v>0.6364977533090678</v>
      </c>
      <c r="G238" s="29">
        <v>89.8499984741211</v>
      </c>
      <c r="H238" s="29">
        <v>0.98</v>
      </c>
      <c r="I238" s="29">
        <v>2.1</v>
      </c>
    </row>
    <row r="239" ht="14.25" customHeight="1">
      <c r="C239" s="29"/>
      <c r="D239" s="29"/>
      <c r="E239" s="29"/>
      <c r="F239" s="29"/>
      <c r="G239" s="29"/>
      <c r="H239" s="29"/>
      <c r="I239" s="29"/>
    </row>
    <row r="240" ht="14.25" customHeight="1">
      <c r="A240" s="11" t="s">
        <v>469</v>
      </c>
      <c r="C240" s="29">
        <v>207.0</v>
      </c>
      <c r="D240" s="29">
        <v>172.0</v>
      </c>
      <c r="E240" s="29">
        <v>108.0</v>
      </c>
      <c r="F240" s="29">
        <v>131.0</v>
      </c>
      <c r="G240" s="29">
        <v>144.0</v>
      </c>
      <c r="H240" s="29">
        <v>146.0</v>
      </c>
      <c r="I240" s="29">
        <v>198.0</v>
      </c>
    </row>
    <row r="241" ht="14.25" customHeight="1">
      <c r="C241" s="29"/>
      <c r="D241" s="29"/>
      <c r="E241" s="29"/>
      <c r="F241" s="29"/>
      <c r="G241" s="29"/>
      <c r="H241" s="29"/>
      <c r="I241" s="29"/>
    </row>
    <row r="242" ht="14.25" customHeight="1">
      <c r="C242" s="29"/>
      <c r="D242" s="29"/>
      <c r="E242" s="29"/>
      <c r="F242" s="29"/>
      <c r="G242" s="29"/>
      <c r="H242" s="29"/>
      <c r="I242" s="29"/>
    </row>
    <row r="243" ht="14.25" customHeight="1">
      <c r="C243" s="29"/>
      <c r="D243" s="29"/>
      <c r="E243" s="29"/>
      <c r="F243" s="29"/>
      <c r="G243" s="29"/>
      <c r="H243" s="29"/>
      <c r="I243" s="29"/>
    </row>
    <row r="244" ht="14.25" customHeight="1">
      <c r="C244" s="29"/>
      <c r="D244" s="29"/>
      <c r="E244" s="29"/>
      <c r="F244" s="29"/>
      <c r="G244" s="29"/>
      <c r="H244" s="29"/>
      <c r="I244" s="29"/>
    </row>
    <row r="245" ht="14.25" customHeight="1">
      <c r="C245" s="29"/>
      <c r="D245" s="29"/>
      <c r="E245" s="29"/>
      <c r="F245" s="29"/>
      <c r="G245" s="29"/>
      <c r="H245" s="29"/>
      <c r="I245" s="29"/>
    </row>
    <row r="246" ht="14.25" customHeight="1">
      <c r="C246" s="29"/>
      <c r="D246" s="29"/>
      <c r="E246" s="29"/>
      <c r="F246" s="29"/>
      <c r="G246" s="29"/>
      <c r="H246" s="29"/>
      <c r="I246" s="29"/>
    </row>
    <row r="247" ht="14.25" customHeight="1">
      <c r="C247" s="29"/>
      <c r="D247" s="29"/>
      <c r="E247" s="29"/>
      <c r="F247" s="29"/>
      <c r="G247" s="29"/>
      <c r="H247" s="29"/>
      <c r="I247" s="29"/>
    </row>
    <row r="248" ht="14.25" customHeight="1">
      <c r="C248" s="29"/>
      <c r="D248" s="29"/>
      <c r="E248" s="29"/>
      <c r="F248" s="29"/>
      <c r="G248" s="29"/>
      <c r="H248" s="29"/>
      <c r="I248" s="29"/>
    </row>
    <row r="249" ht="14.25" customHeight="1">
      <c r="C249" s="29"/>
      <c r="D249" s="29"/>
      <c r="E249" s="29"/>
      <c r="F249" s="29"/>
      <c r="G249" s="29"/>
      <c r="H249" s="29"/>
      <c r="I249" s="29"/>
    </row>
    <row r="250" ht="14.25" customHeight="1">
      <c r="C250" s="29"/>
      <c r="D250" s="29"/>
      <c r="E250" s="29"/>
      <c r="F250" s="29"/>
      <c r="G250" s="29"/>
      <c r="H250" s="29"/>
      <c r="I250" s="29"/>
    </row>
    <row r="251" ht="14.25" customHeight="1">
      <c r="C251" s="29"/>
      <c r="D251" s="29"/>
      <c r="E251" s="29"/>
      <c r="F251" s="29"/>
      <c r="G251" s="29"/>
      <c r="H251" s="29"/>
      <c r="I251" s="29"/>
    </row>
    <row r="252" ht="14.25" customHeight="1">
      <c r="C252" s="29"/>
      <c r="D252" s="29"/>
      <c r="E252" s="29"/>
      <c r="F252" s="29"/>
      <c r="G252" s="29"/>
      <c r="H252" s="29"/>
      <c r="I252" s="29"/>
    </row>
    <row r="253" ht="14.25" customHeight="1">
      <c r="C253" s="29"/>
      <c r="D253" s="29"/>
      <c r="E253" s="29"/>
      <c r="F253" s="29"/>
      <c r="G253" s="29"/>
      <c r="H253" s="29"/>
      <c r="I253" s="29"/>
    </row>
    <row r="254" ht="14.25" customHeight="1">
      <c r="C254" s="29"/>
      <c r="D254" s="29"/>
      <c r="E254" s="29"/>
      <c r="F254" s="29"/>
      <c r="G254" s="29"/>
      <c r="H254" s="29"/>
      <c r="I254" s="29"/>
    </row>
    <row r="255" ht="14.25" customHeight="1">
      <c r="C255" s="29"/>
      <c r="D255" s="29"/>
      <c r="E255" s="29"/>
      <c r="F255" s="29"/>
      <c r="G255" s="29"/>
      <c r="H255" s="29"/>
      <c r="I255" s="29"/>
    </row>
    <row r="256" ht="14.25" customHeight="1">
      <c r="C256" s="29"/>
      <c r="D256" s="29"/>
      <c r="E256" s="29"/>
      <c r="F256" s="29"/>
      <c r="G256" s="29"/>
      <c r="H256" s="29"/>
      <c r="I256" s="29"/>
    </row>
    <row r="257" ht="14.25" customHeight="1">
      <c r="C257" s="29"/>
      <c r="D257" s="29"/>
      <c r="E257" s="29"/>
      <c r="F257" s="29"/>
      <c r="G257" s="29"/>
      <c r="H257" s="29"/>
      <c r="I257" s="29"/>
    </row>
    <row r="258" ht="14.25" customHeight="1">
      <c r="C258" s="29"/>
      <c r="D258" s="29"/>
      <c r="E258" s="29"/>
      <c r="F258" s="29"/>
      <c r="G258" s="29"/>
      <c r="H258" s="29"/>
      <c r="I258" s="29"/>
    </row>
    <row r="259" ht="14.25" customHeight="1">
      <c r="C259" s="29"/>
      <c r="D259" s="29"/>
      <c r="E259" s="29"/>
      <c r="F259" s="29"/>
      <c r="G259" s="29"/>
      <c r="H259" s="29"/>
      <c r="I259" s="29"/>
    </row>
    <row r="260" ht="14.25" customHeight="1">
      <c r="C260" s="29"/>
      <c r="D260" s="29"/>
      <c r="E260" s="29"/>
      <c r="F260" s="29"/>
      <c r="G260" s="29"/>
      <c r="H260" s="29"/>
      <c r="I260" s="29"/>
    </row>
    <row r="261" ht="14.25" customHeight="1">
      <c r="C261" s="29"/>
      <c r="D261" s="29"/>
      <c r="E261" s="29"/>
      <c r="F261" s="29"/>
      <c r="G261" s="29"/>
      <c r="H261" s="29"/>
      <c r="I261" s="29"/>
    </row>
    <row r="262" ht="14.25" customHeight="1">
      <c r="C262" s="29"/>
      <c r="D262" s="29"/>
      <c r="E262" s="29"/>
      <c r="F262" s="29"/>
      <c r="G262" s="29"/>
      <c r="H262" s="29"/>
      <c r="I262" s="29"/>
    </row>
    <row r="263" ht="14.25" customHeight="1">
      <c r="C263" s="29"/>
      <c r="D263" s="29"/>
      <c r="E263" s="29"/>
      <c r="F263" s="29"/>
      <c r="G263" s="29"/>
      <c r="H263" s="29"/>
      <c r="I263" s="29"/>
    </row>
    <row r="264" ht="14.25" customHeight="1">
      <c r="C264" s="29"/>
      <c r="D264" s="29"/>
      <c r="E264" s="29"/>
      <c r="F264" s="29"/>
      <c r="G264" s="29"/>
      <c r="H264" s="29"/>
      <c r="I264" s="29"/>
    </row>
    <row r="265" ht="14.25" customHeight="1">
      <c r="C265" s="29"/>
      <c r="D265" s="29"/>
      <c r="E265" s="29"/>
      <c r="F265" s="29"/>
      <c r="G265" s="29"/>
      <c r="H265" s="29"/>
      <c r="I265" s="29"/>
    </row>
    <row r="266" ht="14.25" customHeight="1">
      <c r="C266" s="29"/>
      <c r="D266" s="29"/>
      <c r="E266" s="29"/>
      <c r="F266" s="29"/>
      <c r="G266" s="29"/>
      <c r="H266" s="29"/>
      <c r="I266" s="29"/>
    </row>
    <row r="267" ht="14.25" customHeight="1">
      <c r="C267" s="29"/>
      <c r="D267" s="29"/>
      <c r="E267" s="29"/>
      <c r="F267" s="29"/>
      <c r="G267" s="29"/>
      <c r="H267" s="29"/>
      <c r="I267" s="29"/>
    </row>
    <row r="268" ht="14.25" customHeight="1">
      <c r="C268" s="29"/>
      <c r="D268" s="29"/>
      <c r="E268" s="29"/>
      <c r="F268" s="29"/>
      <c r="G268" s="29"/>
      <c r="H268" s="29"/>
      <c r="I268" s="29"/>
    </row>
    <row r="269" ht="14.25" customHeight="1">
      <c r="C269" s="29"/>
      <c r="D269" s="29"/>
      <c r="E269" s="29"/>
      <c r="F269" s="29"/>
      <c r="G269" s="29"/>
      <c r="H269" s="29"/>
      <c r="I269" s="29"/>
    </row>
    <row r="270" ht="14.25" customHeight="1">
      <c r="C270" s="29"/>
      <c r="D270" s="29"/>
      <c r="E270" s="29"/>
      <c r="F270" s="29"/>
      <c r="G270" s="29"/>
      <c r="H270" s="29"/>
      <c r="I270" s="29"/>
    </row>
    <row r="271" ht="14.25" customHeight="1">
      <c r="C271" s="29"/>
      <c r="D271" s="29"/>
      <c r="E271" s="29"/>
      <c r="F271" s="29"/>
      <c r="G271" s="29"/>
      <c r="H271" s="29"/>
      <c r="I271" s="29"/>
    </row>
    <row r="272" ht="14.25" customHeight="1">
      <c r="C272" s="29"/>
      <c r="D272" s="29"/>
      <c r="E272" s="29"/>
      <c r="F272" s="29"/>
      <c r="G272" s="29"/>
      <c r="H272" s="29"/>
      <c r="I272" s="29"/>
    </row>
    <row r="273" ht="14.25" customHeight="1">
      <c r="C273" s="29"/>
      <c r="D273" s="29"/>
      <c r="E273" s="29"/>
      <c r="F273" s="29"/>
      <c r="G273" s="29"/>
      <c r="H273" s="29"/>
      <c r="I273" s="29"/>
    </row>
    <row r="274" ht="14.25" customHeight="1">
      <c r="C274" s="29"/>
      <c r="D274" s="29"/>
      <c r="E274" s="29"/>
      <c r="F274" s="29"/>
      <c r="G274" s="29"/>
      <c r="H274" s="29"/>
      <c r="I274" s="29"/>
    </row>
    <row r="275" ht="14.25" customHeight="1">
      <c r="C275" s="29"/>
      <c r="D275" s="29"/>
      <c r="E275" s="29"/>
      <c r="F275" s="29"/>
      <c r="G275" s="29"/>
      <c r="H275" s="29"/>
      <c r="I275" s="29"/>
    </row>
    <row r="276" ht="14.25" customHeight="1">
      <c r="C276" s="29"/>
      <c r="D276" s="29"/>
      <c r="E276" s="29"/>
      <c r="F276" s="29"/>
      <c r="G276" s="29"/>
      <c r="H276" s="29"/>
      <c r="I276" s="29"/>
    </row>
    <row r="277" ht="14.25" customHeight="1">
      <c r="C277" s="29"/>
      <c r="D277" s="29"/>
      <c r="E277" s="29"/>
      <c r="F277" s="29"/>
      <c r="G277" s="29"/>
      <c r="H277" s="29"/>
      <c r="I277" s="29"/>
    </row>
    <row r="278" ht="14.25" customHeight="1">
      <c r="C278" s="29"/>
      <c r="D278" s="29"/>
      <c r="E278" s="29"/>
      <c r="F278" s="29"/>
      <c r="G278" s="29"/>
      <c r="H278" s="29"/>
      <c r="I278" s="29"/>
    </row>
    <row r="279" ht="14.25" customHeight="1">
      <c r="C279" s="29"/>
      <c r="D279" s="29"/>
      <c r="E279" s="29"/>
      <c r="F279" s="29"/>
      <c r="G279" s="29"/>
      <c r="H279" s="29"/>
      <c r="I279" s="29"/>
    </row>
    <row r="280" ht="14.25" customHeight="1">
      <c r="C280" s="29"/>
      <c r="D280" s="29"/>
      <c r="E280" s="29"/>
      <c r="F280" s="29"/>
      <c r="G280" s="29"/>
      <c r="H280" s="29"/>
      <c r="I280" s="29"/>
    </row>
    <row r="281" ht="14.25" customHeight="1">
      <c r="C281" s="29"/>
      <c r="D281" s="29"/>
      <c r="E281" s="29"/>
      <c r="F281" s="29"/>
      <c r="G281" s="29"/>
      <c r="H281" s="29"/>
      <c r="I281" s="29"/>
    </row>
    <row r="282" ht="14.25" customHeight="1">
      <c r="C282" s="29"/>
      <c r="D282" s="29"/>
      <c r="E282" s="29"/>
      <c r="F282" s="29"/>
      <c r="G282" s="29"/>
      <c r="H282" s="29"/>
      <c r="I282" s="29"/>
    </row>
    <row r="283" ht="14.25" customHeight="1">
      <c r="C283" s="29"/>
      <c r="D283" s="29"/>
      <c r="E283" s="29"/>
      <c r="F283" s="29"/>
      <c r="G283" s="29"/>
      <c r="H283" s="29"/>
      <c r="I283" s="29"/>
    </row>
    <row r="284" ht="14.25" customHeight="1">
      <c r="C284" s="29"/>
      <c r="D284" s="29"/>
      <c r="E284" s="29"/>
      <c r="F284" s="29"/>
      <c r="G284" s="29"/>
      <c r="H284" s="29"/>
      <c r="I284" s="29"/>
    </row>
    <row r="285" ht="14.25" customHeight="1">
      <c r="C285" s="29"/>
      <c r="D285" s="29"/>
      <c r="E285" s="29"/>
      <c r="F285" s="29"/>
      <c r="G285" s="29"/>
      <c r="H285" s="29"/>
      <c r="I285" s="29"/>
    </row>
    <row r="286" ht="14.25" customHeight="1">
      <c r="C286" s="29"/>
      <c r="D286" s="29"/>
      <c r="E286" s="29"/>
      <c r="F286" s="29"/>
      <c r="G286" s="29"/>
      <c r="H286" s="29"/>
      <c r="I286" s="29"/>
    </row>
    <row r="287" ht="14.25" customHeight="1">
      <c r="C287" s="29"/>
      <c r="D287" s="29"/>
      <c r="E287" s="29"/>
      <c r="F287" s="29"/>
      <c r="G287" s="29"/>
      <c r="H287" s="29"/>
      <c r="I287" s="29"/>
    </row>
    <row r="288" ht="14.25" customHeight="1">
      <c r="C288" s="29"/>
      <c r="D288" s="29"/>
      <c r="E288" s="29"/>
      <c r="F288" s="29"/>
      <c r="G288" s="29"/>
      <c r="H288" s="29"/>
      <c r="I288" s="29"/>
    </row>
    <row r="289" ht="14.25" customHeight="1">
      <c r="C289" s="29"/>
      <c r="D289" s="29"/>
      <c r="E289" s="29"/>
      <c r="F289" s="29"/>
      <c r="G289" s="29"/>
      <c r="H289" s="29"/>
      <c r="I289" s="29"/>
    </row>
    <row r="290" ht="14.25" customHeight="1">
      <c r="C290" s="29"/>
      <c r="D290" s="29"/>
      <c r="E290" s="29"/>
      <c r="F290" s="29"/>
      <c r="G290" s="29"/>
      <c r="H290" s="29"/>
      <c r="I290" s="29"/>
    </row>
    <row r="291" ht="14.25" customHeight="1">
      <c r="C291" s="29"/>
      <c r="D291" s="29"/>
      <c r="E291" s="29"/>
      <c r="F291" s="29"/>
      <c r="G291" s="29"/>
      <c r="H291" s="29"/>
      <c r="I291" s="29"/>
    </row>
    <row r="292" ht="14.25" customHeight="1">
      <c r="C292" s="29"/>
      <c r="D292" s="29"/>
      <c r="E292" s="29"/>
      <c r="F292" s="29"/>
      <c r="G292" s="29"/>
      <c r="H292" s="29"/>
      <c r="I292" s="29"/>
    </row>
    <row r="293" ht="14.25" customHeight="1">
      <c r="C293" s="29"/>
      <c r="D293" s="29"/>
      <c r="E293" s="29"/>
      <c r="F293" s="29"/>
      <c r="G293" s="29"/>
      <c r="H293" s="29"/>
      <c r="I293" s="29"/>
    </row>
    <row r="294" ht="14.25" customHeight="1">
      <c r="C294" s="29"/>
      <c r="D294" s="29"/>
      <c r="E294" s="29"/>
      <c r="F294" s="29"/>
      <c r="G294" s="29"/>
      <c r="H294" s="29"/>
      <c r="I294" s="29"/>
    </row>
    <row r="295" ht="14.25" customHeight="1">
      <c r="C295" s="29"/>
      <c r="D295" s="29"/>
      <c r="E295" s="29"/>
      <c r="F295" s="29"/>
      <c r="G295" s="29"/>
      <c r="H295" s="29"/>
      <c r="I295" s="29"/>
    </row>
    <row r="296" ht="14.25" customHeight="1">
      <c r="C296" s="29"/>
      <c r="D296" s="29"/>
      <c r="E296" s="29"/>
      <c r="F296" s="29"/>
      <c r="G296" s="29"/>
      <c r="H296" s="29"/>
      <c r="I296" s="29"/>
    </row>
    <row r="297" ht="14.25" customHeight="1">
      <c r="C297" s="29"/>
      <c r="D297" s="29"/>
      <c r="E297" s="29"/>
      <c r="F297" s="29"/>
      <c r="G297" s="29"/>
      <c r="H297" s="29"/>
      <c r="I297" s="29"/>
    </row>
    <row r="298" ht="14.25" customHeight="1">
      <c r="C298" s="29"/>
      <c r="D298" s="29"/>
      <c r="E298" s="29"/>
      <c r="F298" s="29"/>
      <c r="G298" s="29"/>
      <c r="H298" s="29"/>
      <c r="I298" s="29"/>
    </row>
    <row r="299" ht="14.25" customHeight="1">
      <c r="C299" s="29"/>
      <c r="D299" s="29"/>
      <c r="E299" s="29"/>
      <c r="F299" s="29"/>
      <c r="G299" s="29"/>
      <c r="H299" s="29"/>
      <c r="I299" s="29"/>
    </row>
    <row r="300" ht="14.25" customHeight="1">
      <c r="C300" s="29"/>
      <c r="D300" s="29"/>
      <c r="E300" s="29"/>
      <c r="F300" s="29"/>
      <c r="G300" s="29"/>
      <c r="H300" s="29"/>
      <c r="I300" s="29"/>
    </row>
    <row r="301" ht="14.25" customHeight="1">
      <c r="C301" s="29"/>
      <c r="D301" s="29"/>
      <c r="E301" s="29"/>
      <c r="F301" s="29"/>
      <c r="G301" s="29"/>
      <c r="H301" s="29"/>
      <c r="I301" s="29"/>
    </row>
    <row r="302" ht="14.25" customHeight="1">
      <c r="C302" s="29"/>
      <c r="D302" s="29"/>
      <c r="E302" s="29"/>
      <c r="F302" s="29"/>
      <c r="G302" s="29"/>
      <c r="H302" s="29"/>
      <c r="I302" s="29"/>
    </row>
    <row r="303" ht="14.25" customHeight="1">
      <c r="C303" s="29"/>
      <c r="D303" s="29"/>
      <c r="E303" s="29"/>
      <c r="F303" s="29"/>
      <c r="G303" s="29"/>
      <c r="H303" s="29"/>
      <c r="I303" s="29"/>
    </row>
    <row r="304" ht="14.25" customHeight="1">
      <c r="C304" s="29"/>
      <c r="D304" s="29"/>
      <c r="E304" s="29"/>
      <c r="F304" s="29"/>
      <c r="G304" s="29"/>
      <c r="H304" s="29"/>
      <c r="I304" s="29"/>
    </row>
    <row r="305" ht="14.25" customHeight="1">
      <c r="C305" s="29"/>
      <c r="D305" s="29"/>
      <c r="E305" s="29"/>
      <c r="F305" s="29"/>
      <c r="G305" s="29"/>
      <c r="H305" s="29"/>
      <c r="I305" s="29"/>
    </row>
    <row r="306" ht="14.25" customHeight="1">
      <c r="C306" s="29"/>
      <c r="D306" s="29"/>
      <c r="E306" s="29"/>
      <c r="F306" s="29"/>
      <c r="G306" s="29"/>
      <c r="H306" s="29"/>
      <c r="I306" s="29"/>
    </row>
    <row r="307" ht="14.25" customHeight="1">
      <c r="C307" s="29"/>
      <c r="D307" s="29"/>
      <c r="E307" s="29"/>
      <c r="F307" s="29"/>
      <c r="G307" s="29"/>
      <c r="H307" s="29"/>
      <c r="I307" s="29"/>
    </row>
    <row r="308" ht="14.25" customHeight="1">
      <c r="C308" s="29"/>
      <c r="D308" s="29"/>
      <c r="E308" s="29"/>
      <c r="F308" s="29"/>
      <c r="G308" s="29"/>
      <c r="H308" s="29"/>
      <c r="I308" s="29"/>
    </row>
    <row r="309" ht="14.25" customHeight="1">
      <c r="C309" s="29"/>
      <c r="D309" s="29"/>
      <c r="E309" s="29"/>
      <c r="F309" s="29"/>
      <c r="G309" s="29"/>
      <c r="H309" s="29"/>
      <c r="I309" s="29"/>
    </row>
    <row r="310" ht="14.25" customHeight="1">
      <c r="C310" s="29"/>
      <c r="D310" s="29"/>
      <c r="E310" s="29"/>
      <c r="F310" s="29"/>
      <c r="G310" s="29"/>
      <c r="H310" s="29"/>
      <c r="I310" s="29"/>
    </row>
    <row r="311" ht="14.25" customHeight="1">
      <c r="C311" s="29"/>
      <c r="D311" s="29"/>
      <c r="E311" s="29"/>
      <c r="F311" s="29"/>
      <c r="G311" s="29"/>
      <c r="H311" s="29"/>
      <c r="I311" s="29"/>
    </row>
    <row r="312" ht="14.25" customHeight="1">
      <c r="C312" s="29"/>
      <c r="D312" s="29"/>
      <c r="E312" s="29"/>
      <c r="F312" s="29"/>
      <c r="G312" s="29"/>
      <c r="H312" s="29"/>
      <c r="I312" s="29"/>
    </row>
    <row r="313" ht="14.25" customHeight="1">
      <c r="C313" s="29"/>
      <c r="D313" s="29"/>
      <c r="E313" s="29"/>
      <c r="F313" s="29"/>
      <c r="G313" s="29"/>
      <c r="H313" s="29"/>
      <c r="I313" s="29"/>
    </row>
    <row r="314" ht="14.25" customHeight="1">
      <c r="C314" s="29"/>
      <c r="D314" s="29"/>
      <c r="E314" s="29"/>
      <c r="F314" s="29"/>
      <c r="G314" s="29"/>
      <c r="H314" s="29"/>
      <c r="I314" s="29"/>
    </row>
    <row r="315" ht="14.25" customHeight="1">
      <c r="C315" s="29"/>
      <c r="D315" s="29"/>
      <c r="E315" s="29"/>
      <c r="F315" s="29"/>
      <c r="G315" s="29"/>
      <c r="H315" s="29"/>
      <c r="I315" s="29"/>
    </row>
    <row r="316" ht="14.25" customHeight="1">
      <c r="C316" s="29"/>
      <c r="D316" s="29"/>
      <c r="E316" s="29"/>
      <c r="F316" s="29"/>
      <c r="G316" s="29"/>
      <c r="H316" s="29"/>
      <c r="I316" s="29"/>
    </row>
    <row r="317" ht="14.25" customHeight="1">
      <c r="C317" s="29"/>
      <c r="D317" s="29"/>
      <c r="E317" s="29"/>
      <c r="F317" s="29"/>
      <c r="G317" s="29"/>
      <c r="H317" s="29"/>
      <c r="I317" s="29"/>
    </row>
    <row r="318" ht="14.25" customHeight="1">
      <c r="C318" s="29"/>
      <c r="D318" s="29"/>
      <c r="E318" s="29"/>
      <c r="F318" s="29"/>
      <c r="G318" s="29"/>
      <c r="H318" s="29"/>
      <c r="I318" s="29"/>
    </row>
    <row r="319" ht="14.25" customHeight="1">
      <c r="C319" s="29"/>
      <c r="D319" s="29"/>
      <c r="E319" s="29"/>
      <c r="F319" s="29"/>
      <c r="G319" s="29"/>
      <c r="H319" s="29"/>
      <c r="I319" s="29"/>
    </row>
    <row r="320" ht="14.25" customHeight="1">
      <c r="C320" s="29"/>
      <c r="D320" s="29"/>
      <c r="E320" s="29"/>
      <c r="F320" s="29"/>
      <c r="G320" s="29"/>
      <c r="H320" s="29"/>
      <c r="I320" s="29"/>
    </row>
    <row r="321" ht="14.25" customHeight="1">
      <c r="C321" s="29"/>
      <c r="D321" s="29"/>
      <c r="E321" s="29"/>
      <c r="F321" s="29"/>
      <c r="G321" s="29"/>
      <c r="H321" s="29"/>
      <c r="I321" s="29"/>
    </row>
    <row r="322" ht="14.25" customHeight="1">
      <c r="C322" s="29"/>
      <c r="D322" s="29"/>
      <c r="E322" s="29"/>
      <c r="F322" s="29"/>
      <c r="G322" s="29"/>
      <c r="H322" s="29"/>
      <c r="I322" s="29"/>
    </row>
    <row r="323" ht="14.25" customHeight="1">
      <c r="C323" s="29"/>
      <c r="D323" s="29"/>
      <c r="E323" s="29"/>
      <c r="F323" s="29"/>
      <c r="G323" s="29"/>
      <c r="H323" s="29"/>
      <c r="I323" s="29"/>
    </row>
    <row r="324" ht="14.25" customHeight="1">
      <c r="C324" s="29"/>
      <c r="D324" s="29"/>
      <c r="E324" s="29"/>
      <c r="F324" s="29"/>
      <c r="G324" s="29"/>
      <c r="H324" s="29"/>
      <c r="I324" s="29"/>
    </row>
    <row r="325" ht="14.25" customHeight="1">
      <c r="C325" s="29"/>
      <c r="D325" s="29"/>
      <c r="E325" s="29"/>
      <c r="F325" s="29"/>
      <c r="G325" s="29"/>
      <c r="H325" s="29"/>
      <c r="I325" s="29"/>
    </row>
    <row r="326" ht="14.25" customHeight="1">
      <c r="C326" s="29"/>
      <c r="D326" s="29"/>
      <c r="E326" s="29"/>
      <c r="F326" s="29"/>
      <c r="G326" s="29"/>
      <c r="H326" s="29"/>
      <c r="I326" s="29"/>
    </row>
    <row r="327" ht="14.25" customHeight="1">
      <c r="C327" s="29"/>
      <c r="D327" s="29"/>
      <c r="E327" s="29"/>
      <c r="F327" s="29"/>
      <c r="G327" s="29"/>
      <c r="H327" s="29"/>
      <c r="I327" s="29"/>
    </row>
    <row r="328" ht="14.25" customHeight="1">
      <c r="C328" s="29"/>
      <c r="D328" s="29"/>
      <c r="E328" s="29"/>
      <c r="F328" s="29"/>
      <c r="G328" s="29"/>
      <c r="H328" s="29"/>
      <c r="I328" s="29"/>
    </row>
    <row r="329" ht="14.25" customHeight="1">
      <c r="C329" s="29"/>
      <c r="D329" s="29"/>
      <c r="E329" s="29"/>
      <c r="F329" s="29"/>
      <c r="G329" s="29"/>
      <c r="H329" s="29"/>
      <c r="I329" s="29"/>
    </row>
    <row r="330" ht="14.25" customHeight="1">
      <c r="C330" s="29"/>
      <c r="D330" s="29"/>
      <c r="E330" s="29"/>
      <c r="F330" s="29"/>
      <c r="G330" s="29"/>
      <c r="H330" s="29"/>
      <c r="I330" s="29"/>
    </row>
    <row r="331" ht="14.25" customHeight="1">
      <c r="C331" s="29"/>
      <c r="D331" s="29"/>
      <c r="E331" s="29"/>
      <c r="F331" s="29"/>
      <c r="G331" s="29"/>
      <c r="H331" s="29"/>
      <c r="I331" s="29"/>
    </row>
    <row r="332" ht="14.25" customHeight="1">
      <c r="C332" s="29"/>
      <c r="D332" s="29"/>
      <c r="E332" s="29"/>
      <c r="F332" s="29"/>
      <c r="G332" s="29"/>
      <c r="H332" s="29"/>
      <c r="I332" s="29"/>
    </row>
    <row r="333" ht="14.25" customHeight="1">
      <c r="C333" s="29"/>
      <c r="D333" s="29"/>
      <c r="E333" s="29"/>
      <c r="F333" s="29"/>
      <c r="G333" s="29"/>
      <c r="H333" s="29"/>
      <c r="I333" s="29"/>
    </row>
    <row r="334" ht="14.25" customHeight="1">
      <c r="C334" s="29"/>
      <c r="D334" s="29"/>
      <c r="E334" s="29"/>
      <c r="F334" s="29"/>
      <c r="G334" s="29"/>
      <c r="H334" s="29"/>
      <c r="I334" s="29"/>
    </row>
    <row r="335" ht="14.25" customHeight="1">
      <c r="C335" s="29"/>
      <c r="D335" s="29"/>
      <c r="E335" s="29"/>
      <c r="F335" s="29"/>
      <c r="G335" s="29"/>
      <c r="H335" s="29"/>
      <c r="I335" s="29"/>
    </row>
    <row r="336" ht="14.25" customHeight="1">
      <c r="C336" s="29"/>
      <c r="D336" s="29"/>
      <c r="E336" s="29"/>
      <c r="F336" s="29"/>
      <c r="G336" s="29"/>
      <c r="H336" s="29"/>
      <c r="I336" s="29"/>
    </row>
    <row r="337" ht="14.25" customHeight="1">
      <c r="C337" s="29"/>
      <c r="D337" s="29"/>
      <c r="E337" s="29"/>
      <c r="F337" s="29"/>
      <c r="G337" s="29"/>
      <c r="H337" s="29"/>
      <c r="I337" s="29"/>
    </row>
    <row r="338" ht="14.25" customHeight="1">
      <c r="C338" s="29"/>
      <c r="D338" s="29"/>
      <c r="E338" s="29"/>
      <c r="F338" s="29"/>
      <c r="G338" s="29"/>
      <c r="H338" s="29"/>
      <c r="I338" s="29"/>
    </row>
    <row r="339" ht="14.25" customHeight="1">
      <c r="C339" s="29"/>
      <c r="D339" s="29"/>
      <c r="E339" s="29"/>
      <c r="F339" s="29"/>
      <c r="G339" s="29"/>
      <c r="H339" s="29"/>
      <c r="I339" s="29"/>
    </row>
    <row r="340" ht="14.25" customHeight="1">
      <c r="C340" s="29"/>
      <c r="D340" s="29"/>
      <c r="E340" s="29"/>
      <c r="F340" s="29"/>
      <c r="G340" s="29"/>
      <c r="H340" s="29"/>
      <c r="I340" s="29"/>
    </row>
    <row r="341" ht="14.25" customHeight="1">
      <c r="C341" s="29"/>
      <c r="D341" s="29"/>
      <c r="E341" s="29"/>
      <c r="F341" s="29"/>
      <c r="G341" s="29"/>
      <c r="H341" s="29"/>
      <c r="I341" s="29"/>
    </row>
    <row r="342" ht="14.25" customHeight="1">
      <c r="C342" s="29"/>
      <c r="D342" s="29"/>
      <c r="E342" s="29"/>
      <c r="F342" s="29"/>
      <c r="G342" s="29"/>
      <c r="H342" s="29"/>
      <c r="I342" s="29"/>
    </row>
    <row r="343" ht="14.25" customHeight="1">
      <c r="C343" s="29"/>
      <c r="D343" s="29"/>
      <c r="E343" s="29"/>
      <c r="F343" s="29"/>
      <c r="G343" s="29"/>
      <c r="H343" s="29"/>
      <c r="I343" s="29"/>
    </row>
    <row r="344" ht="14.25" customHeight="1">
      <c r="C344" s="29"/>
      <c r="D344" s="29"/>
      <c r="E344" s="29"/>
      <c r="F344" s="29"/>
      <c r="G344" s="29"/>
      <c r="H344" s="29"/>
      <c r="I344" s="29"/>
    </row>
    <row r="345" ht="14.25" customHeight="1">
      <c r="C345" s="29"/>
      <c r="D345" s="29"/>
      <c r="E345" s="29"/>
      <c r="F345" s="29"/>
      <c r="G345" s="29"/>
      <c r="H345" s="29"/>
      <c r="I345" s="29"/>
    </row>
    <row r="346" ht="14.25" customHeight="1">
      <c r="C346" s="29"/>
      <c r="D346" s="29"/>
      <c r="E346" s="29"/>
      <c r="F346" s="29"/>
      <c r="G346" s="29"/>
      <c r="H346" s="29"/>
      <c r="I346" s="29"/>
    </row>
    <row r="347" ht="14.25" customHeight="1">
      <c r="C347" s="29"/>
      <c r="D347" s="29"/>
      <c r="E347" s="29"/>
      <c r="F347" s="29"/>
      <c r="G347" s="29"/>
      <c r="H347" s="29"/>
      <c r="I347" s="29"/>
    </row>
    <row r="348" ht="14.25" customHeight="1">
      <c r="C348" s="29"/>
      <c r="D348" s="29"/>
      <c r="E348" s="29"/>
      <c r="F348" s="29"/>
      <c r="G348" s="29"/>
      <c r="H348" s="29"/>
      <c r="I348" s="29"/>
    </row>
    <row r="349" ht="14.25" customHeight="1">
      <c r="C349" s="29"/>
      <c r="D349" s="29"/>
      <c r="E349" s="29"/>
      <c r="F349" s="29"/>
      <c r="G349" s="29"/>
      <c r="H349" s="29"/>
      <c r="I349" s="29"/>
    </row>
    <row r="350" ht="14.25" customHeight="1">
      <c r="C350" s="29"/>
      <c r="D350" s="29"/>
      <c r="E350" s="29"/>
      <c r="F350" s="29"/>
      <c r="G350" s="29"/>
      <c r="H350" s="29"/>
      <c r="I350" s="29"/>
    </row>
    <row r="351" ht="14.25" customHeight="1">
      <c r="C351" s="29"/>
      <c r="D351" s="29"/>
      <c r="E351" s="29"/>
      <c r="F351" s="29"/>
      <c r="G351" s="29"/>
      <c r="H351" s="29"/>
      <c r="I351" s="29"/>
    </row>
    <row r="352" ht="14.25" customHeight="1">
      <c r="C352" s="29"/>
      <c r="D352" s="29"/>
      <c r="E352" s="29"/>
      <c r="F352" s="29"/>
      <c r="G352" s="29"/>
      <c r="H352" s="29"/>
      <c r="I352" s="29"/>
    </row>
    <row r="353" ht="14.25" customHeight="1">
      <c r="C353" s="29"/>
      <c r="D353" s="29"/>
      <c r="E353" s="29"/>
      <c r="F353" s="29"/>
      <c r="G353" s="29"/>
      <c r="H353" s="29"/>
      <c r="I353" s="29"/>
    </row>
    <row r="354" ht="14.25" customHeight="1">
      <c r="C354" s="29"/>
      <c r="D354" s="29"/>
      <c r="E354" s="29"/>
      <c r="F354" s="29"/>
      <c r="G354" s="29"/>
      <c r="H354" s="29"/>
      <c r="I354" s="29"/>
    </row>
    <row r="355" ht="14.25" customHeight="1">
      <c r="C355" s="29"/>
      <c r="D355" s="29"/>
      <c r="E355" s="29"/>
      <c r="F355" s="29"/>
      <c r="G355" s="29"/>
      <c r="H355" s="29"/>
      <c r="I355" s="29"/>
    </row>
    <row r="356" ht="14.25" customHeight="1">
      <c r="C356" s="29"/>
      <c r="D356" s="29"/>
      <c r="E356" s="29"/>
      <c r="F356" s="29"/>
      <c r="G356" s="29"/>
      <c r="H356" s="29"/>
      <c r="I356" s="29"/>
    </row>
    <row r="357" ht="14.25" customHeight="1">
      <c r="C357" s="29"/>
      <c r="D357" s="29"/>
      <c r="E357" s="29"/>
      <c r="F357" s="29"/>
      <c r="G357" s="29"/>
      <c r="H357" s="29"/>
      <c r="I357" s="29"/>
    </row>
    <row r="358" ht="14.25" customHeight="1">
      <c r="C358" s="29"/>
      <c r="D358" s="29"/>
      <c r="E358" s="29"/>
      <c r="F358" s="29"/>
      <c r="G358" s="29"/>
      <c r="H358" s="29"/>
      <c r="I358" s="29"/>
    </row>
    <row r="359" ht="14.25" customHeight="1">
      <c r="C359" s="29"/>
      <c r="D359" s="29"/>
      <c r="E359" s="29"/>
      <c r="F359" s="29"/>
      <c r="G359" s="29"/>
      <c r="H359" s="29"/>
      <c r="I359" s="29"/>
    </row>
    <row r="360" ht="14.25" customHeight="1">
      <c r="C360" s="29"/>
      <c r="D360" s="29"/>
      <c r="E360" s="29"/>
      <c r="F360" s="29"/>
      <c r="G360" s="29"/>
      <c r="H360" s="29"/>
      <c r="I360" s="29"/>
    </row>
    <row r="361" ht="14.25" customHeight="1">
      <c r="C361" s="29"/>
      <c r="D361" s="29"/>
      <c r="E361" s="29"/>
      <c r="F361" s="29"/>
      <c r="G361" s="29"/>
      <c r="H361" s="29"/>
      <c r="I361" s="29"/>
    </row>
    <row r="362" ht="14.25" customHeight="1">
      <c r="C362" s="29"/>
      <c r="D362" s="29"/>
      <c r="E362" s="29"/>
      <c r="F362" s="29"/>
      <c r="G362" s="29"/>
      <c r="H362" s="29"/>
      <c r="I362" s="29"/>
    </row>
    <row r="363" ht="14.25" customHeight="1">
      <c r="C363" s="29"/>
      <c r="D363" s="29"/>
      <c r="E363" s="29"/>
      <c r="F363" s="29"/>
      <c r="G363" s="29"/>
      <c r="H363" s="29"/>
      <c r="I363" s="29"/>
    </row>
    <row r="364" ht="14.25" customHeight="1">
      <c r="C364" s="29"/>
      <c r="D364" s="29"/>
      <c r="E364" s="29"/>
      <c r="F364" s="29"/>
      <c r="G364" s="29"/>
      <c r="H364" s="29"/>
      <c r="I364" s="29"/>
    </row>
    <row r="365" ht="14.25" customHeight="1">
      <c r="C365" s="29"/>
      <c r="D365" s="29"/>
      <c r="E365" s="29"/>
      <c r="F365" s="29"/>
      <c r="G365" s="29"/>
      <c r="H365" s="29"/>
      <c r="I365" s="29"/>
    </row>
    <row r="366" ht="14.25" customHeight="1">
      <c r="C366" s="29"/>
      <c r="D366" s="29"/>
      <c r="E366" s="29"/>
      <c r="F366" s="29"/>
      <c r="G366" s="29"/>
      <c r="H366" s="29"/>
      <c r="I366" s="29"/>
    </row>
    <row r="367" ht="14.25" customHeight="1">
      <c r="C367" s="29"/>
      <c r="D367" s="29"/>
      <c r="E367" s="29"/>
      <c r="F367" s="29"/>
      <c r="G367" s="29"/>
      <c r="H367" s="29"/>
      <c r="I367" s="29"/>
    </row>
    <row r="368" ht="14.25" customHeight="1">
      <c r="C368" s="29"/>
      <c r="D368" s="29"/>
      <c r="E368" s="29"/>
      <c r="F368" s="29"/>
      <c r="G368" s="29"/>
      <c r="H368" s="29"/>
      <c r="I368" s="29"/>
    </row>
    <row r="369" ht="14.25" customHeight="1">
      <c r="C369" s="29"/>
      <c r="D369" s="29"/>
      <c r="E369" s="29"/>
      <c r="F369" s="29"/>
      <c r="G369" s="29"/>
      <c r="H369" s="29"/>
      <c r="I369" s="29"/>
    </row>
    <row r="370" ht="14.25" customHeight="1">
      <c r="C370" s="29"/>
      <c r="D370" s="29"/>
      <c r="E370" s="29"/>
      <c r="F370" s="29"/>
      <c r="G370" s="29"/>
      <c r="H370" s="29"/>
      <c r="I370" s="29"/>
    </row>
    <row r="371" ht="14.25" customHeight="1">
      <c r="C371" s="29"/>
      <c r="D371" s="29"/>
      <c r="E371" s="29"/>
      <c r="F371" s="29"/>
      <c r="G371" s="29"/>
      <c r="H371" s="29"/>
      <c r="I371" s="29"/>
    </row>
    <row r="372" ht="14.25" customHeight="1">
      <c r="C372" s="29"/>
      <c r="D372" s="29"/>
      <c r="E372" s="29"/>
      <c r="F372" s="29"/>
      <c r="G372" s="29"/>
      <c r="H372" s="29"/>
      <c r="I372" s="29"/>
    </row>
    <row r="373" ht="14.25" customHeight="1">
      <c r="C373" s="29"/>
      <c r="D373" s="29"/>
      <c r="E373" s="29"/>
      <c r="F373" s="29"/>
      <c r="G373" s="29"/>
      <c r="H373" s="29"/>
      <c r="I373" s="29"/>
    </row>
    <row r="374" ht="14.25" customHeight="1">
      <c r="C374" s="29"/>
      <c r="D374" s="29"/>
      <c r="E374" s="29"/>
      <c r="F374" s="29"/>
      <c r="G374" s="29"/>
      <c r="H374" s="29"/>
      <c r="I374" s="29"/>
    </row>
    <row r="375" ht="14.25" customHeight="1">
      <c r="C375" s="29"/>
      <c r="D375" s="29"/>
      <c r="E375" s="29"/>
      <c r="F375" s="29"/>
      <c r="G375" s="29"/>
      <c r="H375" s="29"/>
      <c r="I375" s="29"/>
    </row>
    <row r="376" ht="14.25" customHeight="1">
      <c r="C376" s="29"/>
      <c r="D376" s="29"/>
      <c r="E376" s="29"/>
      <c r="F376" s="29"/>
      <c r="G376" s="29"/>
      <c r="H376" s="29"/>
      <c r="I376" s="29"/>
    </row>
    <row r="377" ht="14.25" customHeight="1">
      <c r="C377" s="29"/>
      <c r="D377" s="29"/>
      <c r="E377" s="29"/>
      <c r="F377" s="29"/>
      <c r="G377" s="29"/>
      <c r="H377" s="29"/>
      <c r="I377" s="29"/>
    </row>
    <row r="378" ht="14.25" customHeight="1">
      <c r="C378" s="29"/>
      <c r="D378" s="29"/>
      <c r="E378" s="29"/>
      <c r="F378" s="29"/>
      <c r="G378" s="29"/>
      <c r="H378" s="29"/>
      <c r="I378" s="29"/>
    </row>
    <row r="379" ht="14.25" customHeight="1">
      <c r="C379" s="29"/>
      <c r="D379" s="29"/>
      <c r="E379" s="29"/>
      <c r="F379" s="29"/>
      <c r="G379" s="29"/>
      <c r="H379" s="29"/>
      <c r="I379" s="29"/>
    </row>
    <row r="380" ht="14.25" customHeight="1">
      <c r="C380" s="29"/>
      <c r="D380" s="29"/>
      <c r="E380" s="29"/>
      <c r="F380" s="29"/>
      <c r="G380" s="29"/>
      <c r="H380" s="29"/>
      <c r="I380" s="29"/>
    </row>
    <row r="381" ht="14.25" customHeight="1">
      <c r="C381" s="29"/>
      <c r="D381" s="29"/>
      <c r="E381" s="29"/>
      <c r="F381" s="29"/>
      <c r="G381" s="29"/>
      <c r="H381" s="29"/>
      <c r="I381" s="29"/>
    </row>
    <row r="382" ht="14.25" customHeight="1">
      <c r="C382" s="29"/>
      <c r="D382" s="29"/>
      <c r="E382" s="29"/>
      <c r="F382" s="29"/>
      <c r="G382" s="29"/>
      <c r="H382" s="29"/>
      <c r="I382" s="29"/>
    </row>
    <row r="383" ht="14.25" customHeight="1">
      <c r="C383" s="29"/>
      <c r="D383" s="29"/>
      <c r="E383" s="29"/>
      <c r="F383" s="29"/>
      <c r="G383" s="29"/>
      <c r="H383" s="29"/>
      <c r="I383" s="29"/>
    </row>
    <row r="384" ht="14.25" customHeight="1">
      <c r="C384" s="29"/>
      <c r="D384" s="29"/>
      <c r="E384" s="29"/>
      <c r="F384" s="29"/>
      <c r="G384" s="29"/>
      <c r="H384" s="29"/>
      <c r="I384" s="29"/>
    </row>
    <row r="385" ht="14.25" customHeight="1">
      <c r="C385" s="29"/>
      <c r="D385" s="29"/>
      <c r="E385" s="29"/>
      <c r="F385" s="29"/>
      <c r="G385" s="29"/>
      <c r="H385" s="29"/>
      <c r="I385" s="29"/>
    </row>
    <row r="386" ht="14.25" customHeight="1">
      <c r="C386" s="29"/>
      <c r="D386" s="29"/>
      <c r="E386" s="29"/>
      <c r="F386" s="29"/>
      <c r="G386" s="29"/>
      <c r="H386" s="29"/>
      <c r="I386" s="29"/>
    </row>
    <row r="387" ht="14.25" customHeight="1">
      <c r="C387" s="29"/>
      <c r="D387" s="29"/>
      <c r="E387" s="29"/>
      <c r="F387" s="29"/>
      <c r="G387" s="29"/>
      <c r="H387" s="29"/>
      <c r="I387" s="29"/>
    </row>
    <row r="388" ht="14.25" customHeight="1">
      <c r="C388" s="29"/>
      <c r="D388" s="29"/>
      <c r="E388" s="29"/>
      <c r="F388" s="29"/>
      <c r="G388" s="29"/>
      <c r="H388" s="29"/>
      <c r="I388" s="29"/>
    </row>
    <row r="389" ht="14.25" customHeight="1">
      <c r="C389" s="29"/>
      <c r="D389" s="29"/>
      <c r="E389" s="29"/>
      <c r="F389" s="29"/>
      <c r="G389" s="29"/>
      <c r="H389" s="29"/>
      <c r="I389" s="29"/>
    </row>
    <row r="390" ht="14.25" customHeight="1">
      <c r="C390" s="29"/>
      <c r="D390" s="29"/>
      <c r="E390" s="29"/>
      <c r="F390" s="29"/>
      <c r="G390" s="29"/>
      <c r="H390" s="29"/>
      <c r="I390" s="29"/>
    </row>
    <row r="391" ht="14.25" customHeight="1">
      <c r="C391" s="29"/>
      <c r="D391" s="29"/>
      <c r="E391" s="29"/>
      <c r="F391" s="29"/>
      <c r="G391" s="29"/>
      <c r="H391" s="29"/>
      <c r="I391" s="29"/>
    </row>
    <row r="392" ht="14.25" customHeight="1">
      <c r="C392" s="29"/>
      <c r="D392" s="29"/>
      <c r="E392" s="29"/>
      <c r="F392" s="29"/>
      <c r="G392" s="29"/>
      <c r="H392" s="29"/>
      <c r="I392" s="29"/>
    </row>
    <row r="393" ht="14.25" customHeight="1">
      <c r="C393" s="29"/>
      <c r="D393" s="29"/>
      <c r="E393" s="29"/>
      <c r="F393" s="29"/>
      <c r="G393" s="29"/>
      <c r="H393" s="29"/>
      <c r="I393" s="29"/>
    </row>
    <row r="394" ht="14.25" customHeight="1">
      <c r="C394" s="29"/>
      <c r="D394" s="29"/>
      <c r="E394" s="29"/>
      <c r="F394" s="29"/>
      <c r="G394" s="29"/>
      <c r="H394" s="29"/>
      <c r="I394" s="29"/>
    </row>
    <row r="395" ht="14.25" customHeight="1">
      <c r="C395" s="29"/>
      <c r="D395" s="29"/>
      <c r="E395" s="29"/>
      <c r="F395" s="29"/>
      <c r="G395" s="29"/>
      <c r="H395" s="29"/>
      <c r="I395" s="29"/>
    </row>
    <row r="396" ht="14.25" customHeight="1">
      <c r="C396" s="29"/>
      <c r="D396" s="29"/>
      <c r="E396" s="29"/>
      <c r="F396" s="29"/>
      <c r="G396" s="29"/>
      <c r="H396" s="29"/>
      <c r="I396" s="29"/>
    </row>
    <row r="397" ht="14.25" customHeight="1">
      <c r="C397" s="29"/>
      <c r="D397" s="29"/>
      <c r="E397" s="29"/>
      <c r="F397" s="29"/>
      <c r="G397" s="29"/>
      <c r="H397" s="29"/>
      <c r="I397" s="29"/>
    </row>
    <row r="398" ht="14.25" customHeight="1">
      <c r="C398" s="29"/>
      <c r="D398" s="29"/>
      <c r="E398" s="29"/>
      <c r="F398" s="29"/>
      <c r="G398" s="29"/>
      <c r="H398" s="29"/>
      <c r="I398" s="29"/>
    </row>
    <row r="399" ht="14.25" customHeight="1">
      <c r="C399" s="29"/>
      <c r="D399" s="29"/>
      <c r="E399" s="29"/>
      <c r="F399" s="29"/>
      <c r="G399" s="29"/>
      <c r="H399" s="29"/>
      <c r="I399" s="29"/>
    </row>
    <row r="400" ht="14.25" customHeight="1">
      <c r="C400" s="29"/>
      <c r="D400" s="29"/>
      <c r="E400" s="29"/>
      <c r="F400" s="29"/>
      <c r="G400" s="29"/>
      <c r="H400" s="29"/>
      <c r="I400" s="29"/>
    </row>
    <row r="401" ht="14.25" customHeight="1">
      <c r="C401" s="29"/>
      <c r="D401" s="29"/>
      <c r="E401" s="29"/>
      <c r="F401" s="29"/>
      <c r="G401" s="29"/>
      <c r="H401" s="29"/>
      <c r="I401" s="29"/>
    </row>
    <row r="402" ht="14.25" customHeight="1">
      <c r="C402" s="29"/>
      <c r="D402" s="29"/>
      <c r="E402" s="29"/>
      <c r="F402" s="29"/>
      <c r="G402" s="29"/>
      <c r="H402" s="29"/>
      <c r="I402" s="29"/>
    </row>
    <row r="403" ht="14.25" customHeight="1">
      <c r="C403" s="29"/>
      <c r="D403" s="29"/>
      <c r="E403" s="29"/>
      <c r="F403" s="29"/>
      <c r="G403" s="29"/>
      <c r="H403" s="29"/>
      <c r="I403" s="29"/>
    </row>
    <row r="404" ht="14.25" customHeight="1">
      <c r="C404" s="29"/>
      <c r="D404" s="29"/>
      <c r="E404" s="29"/>
      <c r="F404" s="29"/>
      <c r="G404" s="29"/>
      <c r="H404" s="29"/>
      <c r="I404" s="29"/>
    </row>
    <row r="405" ht="14.25" customHeight="1">
      <c r="C405" s="29"/>
      <c r="D405" s="29"/>
      <c r="E405" s="29"/>
      <c r="F405" s="29"/>
      <c r="G405" s="29"/>
      <c r="H405" s="29"/>
      <c r="I405" s="29"/>
    </row>
    <row r="406" ht="14.25" customHeight="1">
      <c r="C406" s="29"/>
      <c r="D406" s="29"/>
      <c r="E406" s="29"/>
      <c r="F406" s="29"/>
      <c r="G406" s="29"/>
      <c r="H406" s="29"/>
      <c r="I406" s="29"/>
    </row>
    <row r="407" ht="14.25" customHeight="1">
      <c r="C407" s="29"/>
      <c r="D407" s="29"/>
      <c r="E407" s="29"/>
      <c r="F407" s="29"/>
      <c r="G407" s="29"/>
      <c r="H407" s="29"/>
      <c r="I407" s="29"/>
    </row>
    <row r="408" ht="14.25" customHeight="1">
      <c r="C408" s="29"/>
      <c r="D408" s="29"/>
      <c r="E408" s="29"/>
      <c r="F408" s="29"/>
      <c r="G408" s="29"/>
      <c r="H408" s="29"/>
      <c r="I408" s="29"/>
    </row>
    <row r="409" ht="14.25" customHeight="1">
      <c r="C409" s="29"/>
      <c r="D409" s="29"/>
      <c r="E409" s="29"/>
      <c r="F409" s="29"/>
      <c r="G409" s="29"/>
      <c r="H409" s="29"/>
      <c r="I409" s="29"/>
    </row>
    <row r="410" ht="14.25" customHeight="1">
      <c r="C410" s="29"/>
      <c r="D410" s="29"/>
      <c r="E410" s="29"/>
      <c r="F410" s="29"/>
      <c r="G410" s="29"/>
      <c r="H410" s="29"/>
      <c r="I410" s="29"/>
    </row>
    <row r="411" ht="14.25" customHeight="1">
      <c r="C411" s="29"/>
      <c r="D411" s="29"/>
      <c r="E411" s="29"/>
      <c r="F411" s="29"/>
      <c r="G411" s="29"/>
      <c r="H411" s="29"/>
      <c r="I411" s="29"/>
    </row>
    <row r="412" ht="14.25" customHeight="1">
      <c r="C412" s="29"/>
      <c r="D412" s="29"/>
      <c r="E412" s="29"/>
      <c r="F412" s="29"/>
      <c r="G412" s="29"/>
      <c r="H412" s="29"/>
      <c r="I412" s="29"/>
    </row>
    <row r="413" ht="14.25" customHeight="1">
      <c r="C413" s="29"/>
      <c r="D413" s="29"/>
      <c r="E413" s="29"/>
      <c r="F413" s="29"/>
      <c r="G413" s="29"/>
      <c r="H413" s="29"/>
      <c r="I413" s="29"/>
    </row>
    <row r="414" ht="14.25" customHeight="1">
      <c r="C414" s="29"/>
      <c r="D414" s="29"/>
      <c r="E414" s="29"/>
      <c r="F414" s="29"/>
      <c r="G414" s="29"/>
      <c r="H414" s="29"/>
      <c r="I414" s="29"/>
    </row>
    <row r="415" ht="14.25" customHeight="1">
      <c r="C415" s="29"/>
      <c r="D415" s="29"/>
      <c r="E415" s="29"/>
      <c r="F415" s="29"/>
      <c r="G415" s="29"/>
      <c r="H415" s="29"/>
      <c r="I415" s="29"/>
    </row>
    <row r="416" ht="14.25" customHeight="1">
      <c r="C416" s="29"/>
      <c r="D416" s="29"/>
      <c r="E416" s="29"/>
      <c r="F416" s="29"/>
      <c r="G416" s="29"/>
      <c r="H416" s="29"/>
      <c r="I416" s="29"/>
    </row>
    <row r="417" ht="14.25" customHeight="1">
      <c r="C417" s="29"/>
      <c r="D417" s="29"/>
      <c r="E417" s="29"/>
      <c r="F417" s="29"/>
      <c r="G417" s="29"/>
      <c r="H417" s="29"/>
      <c r="I417" s="29"/>
    </row>
    <row r="418" ht="14.25" customHeight="1">
      <c r="C418" s="29"/>
      <c r="D418" s="29"/>
      <c r="E418" s="29"/>
      <c r="F418" s="29"/>
      <c r="G418" s="29"/>
      <c r="H418" s="29"/>
      <c r="I418" s="29"/>
    </row>
    <row r="419" ht="14.25" customHeight="1">
      <c r="C419" s="29"/>
      <c r="D419" s="29"/>
      <c r="E419" s="29"/>
      <c r="F419" s="29"/>
      <c r="G419" s="29"/>
      <c r="H419" s="29"/>
      <c r="I419" s="29"/>
    </row>
    <row r="420" ht="14.25" customHeight="1">
      <c r="C420" s="29"/>
      <c r="D420" s="29"/>
      <c r="E420" s="29"/>
      <c r="F420" s="29"/>
      <c r="G420" s="29"/>
      <c r="H420" s="29"/>
      <c r="I420" s="29"/>
    </row>
    <row r="421" ht="14.25" customHeight="1">
      <c r="C421" s="29"/>
      <c r="D421" s="29"/>
      <c r="E421" s="29"/>
      <c r="F421" s="29"/>
      <c r="G421" s="29"/>
      <c r="H421" s="29"/>
      <c r="I421" s="29"/>
    </row>
    <row r="422" ht="14.25" customHeight="1">
      <c r="C422" s="29"/>
      <c r="D422" s="29"/>
      <c r="E422" s="29"/>
      <c r="F422" s="29"/>
      <c r="G422" s="29"/>
      <c r="H422" s="29"/>
      <c r="I422" s="29"/>
    </row>
    <row r="423" ht="14.25" customHeight="1">
      <c r="C423" s="29"/>
      <c r="D423" s="29"/>
      <c r="E423" s="29"/>
      <c r="F423" s="29"/>
      <c r="G423" s="29"/>
      <c r="H423" s="29"/>
      <c r="I423" s="29"/>
    </row>
    <row r="424" ht="14.25" customHeight="1">
      <c r="C424" s="29"/>
      <c r="D424" s="29"/>
      <c r="E424" s="29"/>
      <c r="F424" s="29"/>
      <c r="G424" s="29"/>
      <c r="H424" s="29"/>
      <c r="I424" s="29"/>
    </row>
    <row r="425" ht="14.25" customHeight="1">
      <c r="C425" s="29"/>
      <c r="D425" s="29"/>
      <c r="E425" s="29"/>
      <c r="F425" s="29"/>
      <c r="G425" s="29"/>
      <c r="H425" s="29"/>
      <c r="I425" s="29"/>
    </row>
    <row r="426" ht="14.25" customHeight="1">
      <c r="C426" s="29"/>
      <c r="D426" s="29"/>
      <c r="E426" s="29"/>
      <c r="F426" s="29"/>
      <c r="G426" s="29"/>
      <c r="H426" s="29"/>
      <c r="I426" s="29"/>
    </row>
    <row r="427" ht="14.25" customHeight="1">
      <c r="C427" s="29"/>
      <c r="D427" s="29"/>
      <c r="E427" s="29"/>
      <c r="F427" s="29"/>
      <c r="G427" s="29"/>
      <c r="H427" s="29"/>
      <c r="I427" s="29"/>
    </row>
    <row r="428" ht="14.25" customHeight="1">
      <c r="C428" s="29"/>
      <c r="D428" s="29"/>
      <c r="E428" s="29"/>
      <c r="F428" s="29"/>
      <c r="G428" s="29"/>
      <c r="H428" s="29"/>
      <c r="I428" s="29"/>
    </row>
    <row r="429" ht="14.25" customHeight="1">
      <c r="C429" s="29"/>
      <c r="D429" s="29"/>
      <c r="E429" s="29"/>
      <c r="F429" s="29"/>
      <c r="G429" s="29"/>
      <c r="H429" s="29"/>
      <c r="I429" s="29"/>
    </row>
    <row r="430" ht="14.25" customHeight="1">
      <c r="C430" s="29"/>
      <c r="D430" s="29"/>
      <c r="E430" s="29"/>
      <c r="F430" s="29"/>
      <c r="G430" s="29"/>
      <c r="H430" s="29"/>
      <c r="I430" s="29"/>
    </row>
    <row r="431" ht="14.25" customHeight="1">
      <c r="C431" s="29"/>
      <c r="D431" s="29"/>
      <c r="E431" s="29"/>
      <c r="F431" s="29"/>
      <c r="G431" s="29"/>
      <c r="H431" s="29"/>
      <c r="I431" s="29"/>
    </row>
    <row r="432" ht="14.25" customHeight="1">
      <c r="C432" s="29"/>
      <c r="D432" s="29"/>
      <c r="E432" s="29"/>
      <c r="F432" s="29"/>
      <c r="G432" s="29"/>
      <c r="H432" s="29"/>
      <c r="I432" s="29"/>
    </row>
    <row r="433" ht="14.25" customHeight="1">
      <c r="C433" s="29"/>
      <c r="D433" s="29"/>
      <c r="E433" s="29"/>
      <c r="F433" s="29"/>
      <c r="G433" s="29"/>
      <c r="H433" s="29"/>
      <c r="I433" s="29"/>
    </row>
    <row r="434" ht="14.25" customHeight="1">
      <c r="C434" s="29"/>
      <c r="D434" s="29"/>
      <c r="E434" s="29"/>
      <c r="F434" s="29"/>
      <c r="G434" s="29"/>
      <c r="H434" s="29"/>
      <c r="I434" s="29"/>
    </row>
    <row r="435" ht="14.25" customHeight="1">
      <c r="C435" s="29"/>
      <c r="D435" s="29"/>
      <c r="E435" s="29"/>
      <c r="F435" s="29"/>
      <c r="G435" s="29"/>
      <c r="H435" s="29"/>
      <c r="I435" s="29"/>
    </row>
    <row r="436" ht="14.25" customHeight="1">
      <c r="C436" s="29"/>
      <c r="D436" s="29"/>
      <c r="E436" s="29"/>
      <c r="F436" s="29"/>
      <c r="G436" s="29"/>
      <c r="H436" s="29"/>
      <c r="I436" s="29"/>
    </row>
    <row r="437" ht="14.25" customHeight="1">
      <c r="C437" s="29"/>
      <c r="D437" s="29"/>
      <c r="E437" s="29"/>
      <c r="F437" s="29"/>
      <c r="G437" s="29"/>
      <c r="H437" s="29"/>
      <c r="I437" s="29"/>
    </row>
    <row r="438" ht="14.25" customHeight="1">
      <c r="C438" s="29"/>
      <c r="D438" s="29"/>
      <c r="E438" s="29"/>
      <c r="F438" s="29"/>
      <c r="G438" s="29"/>
      <c r="H438" s="29"/>
      <c r="I438" s="29"/>
    </row>
    <row r="439" ht="14.25" customHeight="1">
      <c r="C439" s="29"/>
      <c r="D439" s="29"/>
      <c r="E439" s="29"/>
      <c r="F439" s="29"/>
      <c r="G439" s="29"/>
      <c r="H439" s="29"/>
      <c r="I439" s="29"/>
    </row>
    <row r="440" ht="14.25" customHeight="1">
      <c r="C440" s="29"/>
      <c r="D440" s="29"/>
      <c r="E440" s="29"/>
      <c r="F440" s="29"/>
      <c r="G440" s="29"/>
      <c r="H440" s="29"/>
      <c r="I440" s="29"/>
    </row>
    <row r="441" ht="14.25" customHeight="1">
      <c r="C441" s="29"/>
      <c r="D441" s="29"/>
      <c r="E441" s="29"/>
      <c r="F441" s="29"/>
      <c r="G441" s="29"/>
      <c r="H441" s="29"/>
      <c r="I441" s="29"/>
    </row>
    <row r="442" ht="14.25" customHeight="1">
      <c r="C442" s="29"/>
      <c r="D442" s="29"/>
      <c r="E442" s="29"/>
      <c r="F442" s="29"/>
      <c r="G442" s="29"/>
      <c r="H442" s="29"/>
      <c r="I442" s="29"/>
    </row>
    <row r="443" ht="14.25" customHeight="1">
      <c r="C443" s="29"/>
      <c r="D443" s="29"/>
      <c r="E443" s="29"/>
      <c r="F443" s="29"/>
      <c r="G443" s="29"/>
      <c r="H443" s="29"/>
      <c r="I443" s="29"/>
    </row>
    <row r="444" ht="14.25" customHeight="1">
      <c r="C444" s="29"/>
      <c r="D444" s="29"/>
      <c r="E444" s="29"/>
      <c r="F444" s="29"/>
      <c r="G444" s="29"/>
      <c r="H444" s="29"/>
      <c r="I444" s="29"/>
    </row>
    <row r="445" ht="14.25" customHeight="1">
      <c r="C445" s="29"/>
      <c r="D445" s="29"/>
      <c r="E445" s="29"/>
      <c r="F445" s="29"/>
      <c r="G445" s="29"/>
      <c r="H445" s="29"/>
      <c r="I445" s="29"/>
    </row>
    <row r="446" ht="14.25" customHeight="1">
      <c r="C446" s="29"/>
      <c r="D446" s="29"/>
      <c r="E446" s="29"/>
      <c r="F446" s="29"/>
      <c r="G446" s="29"/>
      <c r="H446" s="29"/>
      <c r="I446" s="29"/>
    </row>
    <row r="447" ht="14.25" customHeight="1">
      <c r="C447" s="29"/>
      <c r="D447" s="29"/>
      <c r="E447" s="29"/>
      <c r="F447" s="29"/>
      <c r="G447" s="29"/>
      <c r="H447" s="29"/>
      <c r="I447" s="29"/>
    </row>
    <row r="448" ht="14.25" customHeight="1">
      <c r="C448" s="29"/>
      <c r="D448" s="29"/>
      <c r="E448" s="29"/>
      <c r="F448" s="29"/>
      <c r="G448" s="29"/>
      <c r="H448" s="29"/>
      <c r="I448" s="29"/>
    </row>
    <row r="449" ht="14.25" customHeight="1">
      <c r="C449" s="29"/>
      <c r="D449" s="29"/>
      <c r="E449" s="29"/>
      <c r="F449" s="29"/>
      <c r="G449" s="29"/>
      <c r="H449" s="29"/>
      <c r="I449" s="29"/>
    </row>
    <row r="450" ht="14.25" customHeight="1">
      <c r="C450" s="29"/>
      <c r="D450" s="29"/>
      <c r="E450" s="29"/>
      <c r="F450" s="29"/>
      <c r="G450" s="29"/>
      <c r="H450" s="29"/>
      <c r="I450" s="29"/>
    </row>
    <row r="451" ht="14.25" customHeight="1">
      <c r="C451" s="29"/>
      <c r="D451" s="29"/>
      <c r="E451" s="29"/>
      <c r="F451" s="29"/>
      <c r="G451" s="29"/>
      <c r="H451" s="29"/>
      <c r="I451" s="29"/>
    </row>
    <row r="452" ht="14.25" customHeight="1">
      <c r="C452" s="29"/>
      <c r="D452" s="29"/>
      <c r="E452" s="29"/>
      <c r="F452" s="29"/>
      <c r="G452" s="29"/>
      <c r="H452" s="29"/>
      <c r="I452" s="29"/>
    </row>
    <row r="453" ht="14.25" customHeight="1">
      <c r="C453" s="29"/>
      <c r="D453" s="29"/>
      <c r="E453" s="29"/>
      <c r="F453" s="29"/>
      <c r="G453" s="29"/>
      <c r="H453" s="29"/>
      <c r="I453" s="29"/>
    </row>
    <row r="454" ht="14.25" customHeight="1">
      <c r="C454" s="29"/>
      <c r="D454" s="29"/>
      <c r="E454" s="29"/>
      <c r="F454" s="29"/>
      <c r="G454" s="29"/>
      <c r="H454" s="29"/>
      <c r="I454" s="29"/>
    </row>
    <row r="455" ht="14.25" customHeight="1">
      <c r="C455" s="29"/>
      <c r="D455" s="29"/>
      <c r="E455" s="29"/>
      <c r="F455" s="29"/>
      <c r="G455" s="29"/>
      <c r="H455" s="29"/>
      <c r="I455" s="29"/>
    </row>
    <row r="456" ht="14.25" customHeight="1">
      <c r="C456" s="29"/>
      <c r="D456" s="29"/>
      <c r="E456" s="29"/>
      <c r="F456" s="29"/>
      <c r="G456" s="29"/>
      <c r="H456" s="29"/>
      <c r="I456" s="29"/>
    </row>
    <row r="457" ht="14.25" customHeight="1">
      <c r="C457" s="29"/>
      <c r="D457" s="29"/>
      <c r="E457" s="29"/>
      <c r="F457" s="29"/>
      <c r="G457" s="29"/>
      <c r="H457" s="29"/>
      <c r="I457" s="29"/>
    </row>
    <row r="458" ht="14.25" customHeight="1">
      <c r="C458" s="29"/>
      <c r="D458" s="29"/>
      <c r="E458" s="29"/>
      <c r="F458" s="29"/>
      <c r="G458" s="29"/>
      <c r="H458" s="29"/>
      <c r="I458" s="29"/>
    </row>
    <row r="459" ht="14.25" customHeight="1">
      <c r="C459" s="29"/>
      <c r="D459" s="29"/>
      <c r="E459" s="29"/>
      <c r="F459" s="29"/>
      <c r="G459" s="29"/>
      <c r="H459" s="29"/>
      <c r="I459" s="29"/>
    </row>
    <row r="460" ht="14.25" customHeight="1">
      <c r="C460" s="29"/>
      <c r="D460" s="29"/>
      <c r="E460" s="29"/>
      <c r="F460" s="29"/>
      <c r="G460" s="29"/>
      <c r="H460" s="29"/>
      <c r="I460" s="29"/>
    </row>
    <row r="461" ht="14.25" customHeight="1">
      <c r="C461" s="29"/>
      <c r="D461" s="29"/>
      <c r="E461" s="29"/>
      <c r="F461" s="29"/>
      <c r="G461" s="29"/>
      <c r="H461" s="29"/>
      <c r="I461" s="29"/>
    </row>
    <row r="462" ht="14.25" customHeight="1">
      <c r="C462" s="29"/>
      <c r="D462" s="29"/>
      <c r="E462" s="29"/>
      <c r="F462" s="29"/>
      <c r="G462" s="29"/>
      <c r="H462" s="29"/>
      <c r="I462" s="29"/>
    </row>
    <row r="463" ht="14.25" customHeight="1">
      <c r="C463" s="29"/>
      <c r="D463" s="29"/>
      <c r="E463" s="29"/>
      <c r="F463" s="29"/>
      <c r="G463" s="29"/>
      <c r="H463" s="29"/>
      <c r="I463" s="29"/>
    </row>
    <row r="464" ht="14.25" customHeight="1">
      <c r="C464" s="29"/>
      <c r="D464" s="29"/>
      <c r="E464" s="29"/>
      <c r="F464" s="29"/>
      <c r="G464" s="29"/>
      <c r="H464" s="29"/>
      <c r="I464" s="29"/>
    </row>
    <row r="465" ht="14.25" customHeight="1">
      <c r="C465" s="29"/>
      <c r="D465" s="29"/>
      <c r="E465" s="29"/>
      <c r="F465" s="29"/>
      <c r="G465" s="29"/>
      <c r="H465" s="29"/>
      <c r="I465" s="29"/>
    </row>
    <row r="466" ht="14.25" customHeight="1">
      <c r="C466" s="29"/>
      <c r="D466" s="29"/>
      <c r="E466" s="29"/>
      <c r="F466" s="29"/>
      <c r="G466" s="29"/>
      <c r="H466" s="29"/>
      <c r="I466" s="29"/>
    </row>
    <row r="467" ht="14.25" customHeight="1">
      <c r="C467" s="29"/>
      <c r="D467" s="29"/>
      <c r="E467" s="29"/>
      <c r="F467" s="29"/>
      <c r="G467" s="29"/>
      <c r="H467" s="29"/>
      <c r="I467" s="29"/>
    </row>
    <row r="468" ht="14.25" customHeight="1">
      <c r="C468" s="29"/>
      <c r="D468" s="29"/>
      <c r="E468" s="29"/>
      <c r="F468" s="29"/>
      <c r="G468" s="29"/>
      <c r="H468" s="29"/>
      <c r="I468" s="29"/>
    </row>
    <row r="469" ht="14.25" customHeight="1">
      <c r="C469" s="29"/>
      <c r="D469" s="29"/>
      <c r="E469" s="29"/>
      <c r="F469" s="29"/>
      <c r="G469" s="29"/>
      <c r="H469" s="29"/>
      <c r="I469" s="29"/>
    </row>
    <row r="470" ht="14.25" customHeight="1">
      <c r="C470" s="29"/>
      <c r="D470" s="29"/>
      <c r="E470" s="29"/>
      <c r="F470" s="29"/>
      <c r="G470" s="29"/>
      <c r="H470" s="29"/>
      <c r="I470" s="29"/>
    </row>
    <row r="471" ht="14.25" customHeight="1">
      <c r="C471" s="29"/>
      <c r="D471" s="29"/>
      <c r="E471" s="29"/>
      <c r="F471" s="29"/>
      <c r="G471" s="29"/>
      <c r="H471" s="29"/>
      <c r="I471" s="29"/>
    </row>
    <row r="472" ht="14.25" customHeight="1">
      <c r="C472" s="29"/>
      <c r="D472" s="29"/>
      <c r="E472" s="29"/>
      <c r="F472" s="29"/>
      <c r="G472" s="29"/>
      <c r="H472" s="29"/>
      <c r="I472" s="29"/>
    </row>
    <row r="473" ht="14.25" customHeight="1">
      <c r="C473" s="29"/>
      <c r="D473" s="29"/>
      <c r="E473" s="29"/>
      <c r="F473" s="29"/>
      <c r="G473" s="29"/>
      <c r="H473" s="29"/>
      <c r="I473" s="29"/>
    </row>
    <row r="474" ht="14.25" customHeight="1">
      <c r="C474" s="29"/>
      <c r="D474" s="29"/>
      <c r="E474" s="29"/>
      <c r="F474" s="29"/>
      <c r="G474" s="29"/>
      <c r="H474" s="29"/>
      <c r="I474" s="29"/>
    </row>
    <row r="475" ht="14.25" customHeight="1">
      <c r="C475" s="29"/>
      <c r="D475" s="29"/>
      <c r="E475" s="29"/>
      <c r="F475" s="29"/>
      <c r="G475" s="29"/>
      <c r="H475" s="29"/>
      <c r="I475" s="29"/>
    </row>
    <row r="476" ht="14.25" customHeight="1">
      <c r="C476" s="29"/>
      <c r="D476" s="29"/>
      <c r="E476" s="29"/>
      <c r="F476" s="29"/>
      <c r="G476" s="29"/>
      <c r="H476" s="29"/>
      <c r="I476" s="29"/>
    </row>
    <row r="477" ht="14.25" customHeight="1">
      <c r="C477" s="29"/>
      <c r="D477" s="29"/>
      <c r="E477" s="29"/>
      <c r="F477" s="29"/>
      <c r="G477" s="29"/>
      <c r="H477" s="29"/>
      <c r="I477" s="29"/>
    </row>
    <row r="478" ht="14.25" customHeight="1">
      <c r="C478" s="29"/>
      <c r="D478" s="29"/>
      <c r="E478" s="29"/>
      <c r="F478" s="29"/>
      <c r="G478" s="29"/>
      <c r="H478" s="29"/>
      <c r="I478" s="29"/>
    </row>
    <row r="479" ht="14.25" customHeight="1">
      <c r="C479" s="29"/>
      <c r="D479" s="29"/>
      <c r="E479" s="29"/>
      <c r="F479" s="29"/>
      <c r="G479" s="29"/>
      <c r="H479" s="29"/>
      <c r="I479" s="29"/>
    </row>
    <row r="480" ht="14.25" customHeight="1">
      <c r="C480" s="29"/>
      <c r="D480" s="29"/>
      <c r="E480" s="29"/>
      <c r="F480" s="29"/>
      <c r="G480" s="29"/>
      <c r="H480" s="29"/>
      <c r="I480" s="29"/>
    </row>
    <row r="481" ht="14.25" customHeight="1">
      <c r="C481" s="29"/>
      <c r="D481" s="29"/>
      <c r="E481" s="29"/>
      <c r="F481" s="29"/>
      <c r="G481" s="29"/>
      <c r="H481" s="29"/>
      <c r="I481" s="29"/>
    </row>
    <row r="482" ht="14.25" customHeight="1">
      <c r="C482" s="29"/>
      <c r="D482" s="29"/>
      <c r="E482" s="29"/>
      <c r="F482" s="29"/>
      <c r="G482" s="29"/>
      <c r="H482" s="29"/>
      <c r="I482" s="29"/>
    </row>
    <row r="483" ht="14.25" customHeight="1">
      <c r="C483" s="29"/>
      <c r="D483" s="29"/>
      <c r="E483" s="29"/>
      <c r="F483" s="29"/>
      <c r="G483" s="29"/>
      <c r="H483" s="29"/>
      <c r="I483" s="29"/>
    </row>
    <row r="484" ht="14.25" customHeight="1">
      <c r="C484" s="29"/>
      <c r="D484" s="29"/>
      <c r="E484" s="29"/>
      <c r="F484" s="29"/>
      <c r="G484" s="29"/>
      <c r="H484" s="29"/>
      <c r="I484" s="29"/>
    </row>
    <row r="485" ht="14.25" customHeight="1">
      <c r="C485" s="29"/>
      <c r="D485" s="29"/>
      <c r="E485" s="29"/>
      <c r="F485" s="29"/>
      <c r="G485" s="29"/>
      <c r="H485" s="29"/>
      <c r="I485" s="29"/>
    </row>
    <row r="486" ht="14.25" customHeight="1">
      <c r="C486" s="29"/>
      <c r="D486" s="29"/>
      <c r="E486" s="29"/>
      <c r="F486" s="29"/>
      <c r="G486" s="29"/>
      <c r="H486" s="29"/>
      <c r="I486" s="29"/>
    </row>
    <row r="487" ht="14.25" customHeight="1">
      <c r="C487" s="29"/>
      <c r="D487" s="29"/>
      <c r="E487" s="29"/>
      <c r="F487" s="29"/>
      <c r="G487" s="29"/>
      <c r="H487" s="29"/>
      <c r="I487" s="29"/>
    </row>
    <row r="488" ht="14.25" customHeight="1">
      <c r="C488" s="29"/>
      <c r="D488" s="29"/>
      <c r="E488" s="29"/>
      <c r="F488" s="29"/>
      <c r="G488" s="29"/>
      <c r="H488" s="29"/>
      <c r="I488" s="29"/>
    </row>
    <row r="489" ht="14.25" customHeight="1">
      <c r="C489" s="29"/>
      <c r="D489" s="29"/>
      <c r="E489" s="29"/>
      <c r="F489" s="29"/>
      <c r="G489" s="29"/>
      <c r="H489" s="29"/>
      <c r="I489" s="29"/>
    </row>
    <row r="490" ht="14.25" customHeight="1">
      <c r="C490" s="29"/>
      <c r="D490" s="29"/>
      <c r="E490" s="29"/>
      <c r="F490" s="29"/>
      <c r="G490" s="29"/>
      <c r="H490" s="29"/>
      <c r="I490" s="29"/>
    </row>
    <row r="491" ht="14.25" customHeight="1">
      <c r="C491" s="29"/>
      <c r="D491" s="29"/>
      <c r="E491" s="29"/>
      <c r="F491" s="29"/>
      <c r="G491" s="29"/>
      <c r="H491" s="29"/>
      <c r="I491" s="29"/>
    </row>
    <row r="492" ht="14.25" customHeight="1">
      <c r="C492" s="29"/>
      <c r="D492" s="29"/>
      <c r="E492" s="29"/>
      <c r="F492" s="29"/>
      <c r="G492" s="29"/>
      <c r="H492" s="29"/>
      <c r="I492" s="29"/>
    </row>
    <row r="493" ht="14.25" customHeight="1">
      <c r="C493" s="29"/>
      <c r="D493" s="29"/>
      <c r="E493" s="29"/>
      <c r="F493" s="29"/>
      <c r="G493" s="29"/>
      <c r="H493" s="29"/>
      <c r="I493" s="29"/>
    </row>
    <row r="494" ht="14.25" customHeight="1">
      <c r="C494" s="29"/>
      <c r="D494" s="29"/>
      <c r="E494" s="29"/>
      <c r="F494" s="29"/>
      <c r="G494" s="29"/>
      <c r="H494" s="29"/>
      <c r="I494" s="29"/>
    </row>
    <row r="495" ht="14.25" customHeight="1">
      <c r="C495" s="29"/>
      <c r="D495" s="29"/>
      <c r="E495" s="29"/>
      <c r="F495" s="29"/>
      <c r="G495" s="29"/>
      <c r="H495" s="29"/>
      <c r="I495" s="29"/>
    </row>
    <row r="496" ht="14.25" customHeight="1">
      <c r="C496" s="29"/>
      <c r="D496" s="29"/>
      <c r="E496" s="29"/>
      <c r="F496" s="29"/>
      <c r="G496" s="29"/>
      <c r="H496" s="29"/>
      <c r="I496" s="29"/>
    </row>
    <row r="497" ht="14.25" customHeight="1">
      <c r="C497" s="29"/>
      <c r="D497" s="29"/>
      <c r="E497" s="29"/>
      <c r="F497" s="29"/>
      <c r="G497" s="29"/>
      <c r="H497" s="29"/>
      <c r="I497" s="29"/>
    </row>
    <row r="498" ht="14.25" customHeight="1">
      <c r="C498" s="29"/>
      <c r="D498" s="29"/>
      <c r="E498" s="29"/>
      <c r="F498" s="29"/>
      <c r="G498" s="29"/>
      <c r="H498" s="29"/>
      <c r="I498" s="29"/>
    </row>
    <row r="499" ht="14.25" customHeight="1">
      <c r="C499" s="29"/>
      <c r="D499" s="29"/>
      <c r="E499" s="29"/>
      <c r="F499" s="29"/>
      <c r="G499" s="29"/>
      <c r="H499" s="29"/>
      <c r="I499" s="29"/>
    </row>
    <row r="500" ht="14.25" customHeight="1">
      <c r="C500" s="29"/>
      <c r="D500" s="29"/>
      <c r="E500" s="29"/>
      <c r="F500" s="29"/>
      <c r="G500" s="29"/>
      <c r="H500" s="29"/>
      <c r="I500" s="29"/>
    </row>
    <row r="501" ht="14.25" customHeight="1">
      <c r="C501" s="29"/>
      <c r="D501" s="29"/>
      <c r="E501" s="29"/>
      <c r="F501" s="29"/>
      <c r="G501" s="29"/>
      <c r="H501" s="29"/>
      <c r="I501" s="29"/>
    </row>
    <row r="502" ht="14.25" customHeight="1">
      <c r="C502" s="29"/>
      <c r="D502" s="29"/>
      <c r="E502" s="29"/>
      <c r="F502" s="29"/>
      <c r="G502" s="29"/>
      <c r="H502" s="29"/>
      <c r="I502" s="29"/>
    </row>
    <row r="503" ht="14.25" customHeight="1">
      <c r="C503" s="29"/>
      <c r="D503" s="29"/>
      <c r="E503" s="29"/>
      <c r="F503" s="29"/>
      <c r="G503" s="29"/>
      <c r="H503" s="29"/>
      <c r="I503" s="29"/>
    </row>
    <row r="504" ht="14.25" customHeight="1">
      <c r="C504" s="29"/>
      <c r="D504" s="29"/>
      <c r="E504" s="29"/>
      <c r="F504" s="29"/>
      <c r="G504" s="29"/>
      <c r="H504" s="29"/>
      <c r="I504" s="29"/>
    </row>
    <row r="505" ht="14.25" customHeight="1">
      <c r="C505" s="29"/>
      <c r="D505" s="29"/>
      <c r="E505" s="29"/>
      <c r="F505" s="29"/>
      <c r="G505" s="29"/>
      <c r="H505" s="29"/>
      <c r="I505" s="29"/>
    </row>
    <row r="506" ht="14.25" customHeight="1">
      <c r="C506" s="29"/>
      <c r="D506" s="29"/>
      <c r="E506" s="29"/>
      <c r="F506" s="29"/>
      <c r="G506" s="29"/>
      <c r="H506" s="29"/>
      <c r="I506" s="29"/>
    </row>
    <row r="507" ht="14.25" customHeight="1">
      <c r="C507" s="29"/>
      <c r="D507" s="29"/>
      <c r="E507" s="29"/>
      <c r="F507" s="29"/>
      <c r="G507" s="29"/>
      <c r="H507" s="29"/>
      <c r="I507" s="29"/>
    </row>
    <row r="508" ht="14.25" customHeight="1">
      <c r="C508" s="29"/>
      <c r="D508" s="29"/>
      <c r="E508" s="29"/>
      <c r="F508" s="29"/>
      <c r="G508" s="29"/>
      <c r="H508" s="29"/>
      <c r="I508" s="29"/>
    </row>
    <row r="509" ht="14.25" customHeight="1">
      <c r="C509" s="29"/>
      <c r="D509" s="29"/>
      <c r="E509" s="29"/>
      <c r="F509" s="29"/>
      <c r="G509" s="29"/>
      <c r="H509" s="29"/>
      <c r="I509" s="29"/>
    </row>
    <row r="510" ht="14.25" customHeight="1">
      <c r="C510" s="29"/>
      <c r="D510" s="29"/>
      <c r="E510" s="29"/>
      <c r="F510" s="29"/>
      <c r="G510" s="29"/>
      <c r="H510" s="29"/>
      <c r="I510" s="29"/>
    </row>
    <row r="511" ht="14.25" customHeight="1">
      <c r="C511" s="29"/>
      <c r="D511" s="29"/>
      <c r="E511" s="29"/>
      <c r="F511" s="29"/>
      <c r="G511" s="29"/>
      <c r="H511" s="29"/>
      <c r="I511" s="29"/>
    </row>
    <row r="512" ht="14.25" customHeight="1">
      <c r="C512" s="29"/>
      <c r="D512" s="29"/>
      <c r="E512" s="29"/>
      <c r="F512" s="29"/>
      <c r="G512" s="29"/>
      <c r="H512" s="29"/>
      <c r="I512" s="29"/>
    </row>
    <row r="513" ht="14.25" customHeight="1">
      <c r="C513" s="29"/>
      <c r="D513" s="29"/>
      <c r="E513" s="29"/>
      <c r="F513" s="29"/>
      <c r="G513" s="29"/>
      <c r="H513" s="29"/>
      <c r="I513" s="29"/>
    </row>
    <row r="514" ht="14.25" customHeight="1">
      <c r="C514" s="29"/>
      <c r="D514" s="29"/>
      <c r="E514" s="29"/>
      <c r="F514" s="29"/>
      <c r="G514" s="29"/>
      <c r="H514" s="29"/>
      <c r="I514" s="29"/>
    </row>
    <row r="515" ht="14.25" customHeight="1">
      <c r="C515" s="29"/>
      <c r="D515" s="29"/>
      <c r="E515" s="29"/>
      <c r="F515" s="29"/>
      <c r="G515" s="29"/>
      <c r="H515" s="29"/>
      <c r="I515" s="29"/>
    </row>
    <row r="516" ht="14.25" customHeight="1">
      <c r="C516" s="29"/>
      <c r="D516" s="29"/>
      <c r="E516" s="29"/>
      <c r="F516" s="29"/>
      <c r="G516" s="29"/>
      <c r="H516" s="29"/>
      <c r="I516" s="29"/>
    </row>
    <row r="517" ht="14.25" customHeight="1">
      <c r="C517" s="29"/>
      <c r="D517" s="29"/>
      <c r="E517" s="29"/>
      <c r="F517" s="29"/>
      <c r="G517" s="29"/>
      <c r="H517" s="29"/>
      <c r="I517" s="29"/>
    </row>
    <row r="518" ht="14.25" customHeight="1">
      <c r="C518" s="29"/>
      <c r="D518" s="29"/>
      <c r="E518" s="29"/>
      <c r="F518" s="29"/>
      <c r="G518" s="29"/>
      <c r="H518" s="29"/>
      <c r="I518" s="29"/>
    </row>
    <row r="519" ht="14.25" customHeight="1">
      <c r="C519" s="29"/>
      <c r="D519" s="29"/>
      <c r="E519" s="29"/>
      <c r="F519" s="29"/>
      <c r="G519" s="29"/>
      <c r="H519" s="29"/>
      <c r="I519" s="29"/>
    </row>
    <row r="520" ht="14.25" customHeight="1">
      <c r="C520" s="29"/>
      <c r="D520" s="29"/>
      <c r="E520" s="29"/>
      <c r="F520" s="29"/>
      <c r="G520" s="29"/>
      <c r="H520" s="29"/>
      <c r="I520" s="29"/>
    </row>
    <row r="521" ht="14.25" customHeight="1">
      <c r="C521" s="29"/>
      <c r="D521" s="29"/>
      <c r="E521" s="29"/>
      <c r="F521" s="29"/>
      <c r="G521" s="29"/>
      <c r="H521" s="29"/>
      <c r="I521" s="29"/>
    </row>
    <row r="522" ht="14.25" customHeight="1">
      <c r="C522" s="29"/>
      <c r="D522" s="29"/>
      <c r="E522" s="29"/>
      <c r="F522" s="29"/>
      <c r="G522" s="29"/>
      <c r="H522" s="29"/>
      <c r="I522" s="29"/>
    </row>
    <row r="523" ht="14.25" customHeight="1">
      <c r="C523" s="29"/>
      <c r="D523" s="29"/>
      <c r="E523" s="29"/>
      <c r="F523" s="29"/>
      <c r="G523" s="29"/>
      <c r="H523" s="29"/>
      <c r="I523" s="29"/>
    </row>
    <row r="524" ht="14.25" customHeight="1">
      <c r="C524" s="29"/>
      <c r="D524" s="29"/>
      <c r="E524" s="29"/>
      <c r="F524" s="29"/>
      <c r="G524" s="29"/>
      <c r="H524" s="29"/>
      <c r="I524" s="29"/>
    </row>
    <row r="525" ht="14.25" customHeight="1">
      <c r="C525" s="29"/>
      <c r="D525" s="29"/>
      <c r="E525" s="29"/>
      <c r="F525" s="29"/>
      <c r="G525" s="29"/>
      <c r="H525" s="29"/>
      <c r="I525" s="29"/>
    </row>
    <row r="526" ht="14.25" customHeight="1">
      <c r="C526" s="29"/>
      <c r="D526" s="29"/>
      <c r="E526" s="29"/>
      <c r="F526" s="29"/>
      <c r="G526" s="29"/>
      <c r="H526" s="29"/>
      <c r="I526" s="29"/>
    </row>
    <row r="527" ht="14.25" customHeight="1">
      <c r="C527" s="29"/>
      <c r="D527" s="29"/>
      <c r="E527" s="29"/>
      <c r="F527" s="29"/>
      <c r="G527" s="29"/>
      <c r="H527" s="29"/>
      <c r="I527" s="29"/>
    </row>
    <row r="528" ht="14.25" customHeight="1">
      <c r="C528" s="29"/>
      <c r="D528" s="29"/>
      <c r="E528" s="29"/>
      <c r="F528" s="29"/>
      <c r="G528" s="29"/>
      <c r="H528" s="29"/>
      <c r="I528" s="29"/>
    </row>
    <row r="529" ht="14.25" customHeight="1">
      <c r="C529" s="29"/>
      <c r="D529" s="29"/>
      <c r="E529" s="29"/>
      <c r="F529" s="29"/>
      <c r="G529" s="29"/>
      <c r="H529" s="29"/>
      <c r="I529" s="29"/>
    </row>
    <row r="530" ht="14.25" customHeight="1">
      <c r="C530" s="29"/>
      <c r="D530" s="29"/>
      <c r="E530" s="29"/>
      <c r="F530" s="29"/>
      <c r="G530" s="29"/>
      <c r="H530" s="29"/>
      <c r="I530" s="29"/>
    </row>
    <row r="531" ht="14.25" customHeight="1">
      <c r="C531" s="29"/>
      <c r="D531" s="29"/>
      <c r="E531" s="29"/>
      <c r="F531" s="29"/>
      <c r="G531" s="29"/>
      <c r="H531" s="29"/>
      <c r="I531" s="29"/>
    </row>
    <row r="532" ht="14.25" customHeight="1">
      <c r="C532" s="29"/>
      <c r="D532" s="29"/>
      <c r="E532" s="29"/>
      <c r="F532" s="29"/>
      <c r="G532" s="29"/>
      <c r="H532" s="29"/>
      <c r="I532" s="29"/>
    </row>
    <row r="533" ht="14.25" customHeight="1">
      <c r="C533" s="29"/>
      <c r="D533" s="29"/>
      <c r="E533" s="29"/>
      <c r="F533" s="29"/>
      <c r="G533" s="29"/>
      <c r="H533" s="29"/>
      <c r="I533" s="29"/>
    </row>
    <row r="534" ht="14.25" customHeight="1">
      <c r="C534" s="29"/>
      <c r="D534" s="29"/>
      <c r="E534" s="29"/>
      <c r="F534" s="29"/>
      <c r="G534" s="29"/>
      <c r="H534" s="29"/>
      <c r="I534" s="29"/>
    </row>
    <row r="535" ht="14.25" customHeight="1">
      <c r="C535" s="29"/>
      <c r="D535" s="29"/>
      <c r="E535" s="29"/>
      <c r="F535" s="29"/>
      <c r="G535" s="29"/>
      <c r="H535" s="29"/>
      <c r="I535" s="29"/>
    </row>
    <row r="536" ht="14.25" customHeight="1">
      <c r="C536" s="29"/>
      <c r="D536" s="29"/>
      <c r="E536" s="29"/>
      <c r="F536" s="29"/>
      <c r="G536" s="29"/>
      <c r="H536" s="29"/>
      <c r="I536" s="29"/>
    </row>
    <row r="537" ht="14.25" customHeight="1">
      <c r="C537" s="29"/>
      <c r="D537" s="29"/>
      <c r="E537" s="29"/>
      <c r="F537" s="29"/>
      <c r="G537" s="29"/>
      <c r="H537" s="29"/>
      <c r="I537" s="29"/>
    </row>
    <row r="538" ht="14.25" customHeight="1">
      <c r="C538" s="29"/>
      <c r="D538" s="29"/>
      <c r="E538" s="29"/>
      <c r="F538" s="29"/>
      <c r="G538" s="29"/>
      <c r="H538" s="29"/>
      <c r="I538" s="29"/>
    </row>
    <row r="539" ht="14.25" customHeight="1">
      <c r="C539" s="29"/>
      <c r="D539" s="29"/>
      <c r="E539" s="29"/>
      <c r="F539" s="29"/>
      <c r="G539" s="29"/>
      <c r="H539" s="29"/>
      <c r="I539" s="29"/>
    </row>
    <row r="540" ht="14.25" customHeight="1">
      <c r="C540" s="29"/>
      <c r="D540" s="29"/>
      <c r="E540" s="29"/>
      <c r="F540" s="29"/>
      <c r="G540" s="29"/>
      <c r="H540" s="29"/>
      <c r="I540" s="29"/>
    </row>
    <row r="541" ht="14.25" customHeight="1">
      <c r="C541" s="29"/>
      <c r="D541" s="29"/>
      <c r="E541" s="29"/>
      <c r="F541" s="29"/>
      <c r="G541" s="29"/>
      <c r="H541" s="29"/>
      <c r="I541" s="29"/>
    </row>
    <row r="542" ht="14.25" customHeight="1">
      <c r="C542" s="29"/>
      <c r="D542" s="29"/>
      <c r="E542" s="29"/>
      <c r="F542" s="29"/>
      <c r="G542" s="29"/>
      <c r="H542" s="29"/>
      <c r="I542" s="29"/>
    </row>
    <row r="543" ht="14.25" customHeight="1">
      <c r="C543" s="29"/>
      <c r="D543" s="29"/>
      <c r="E543" s="29"/>
      <c r="F543" s="29"/>
      <c r="G543" s="29"/>
      <c r="H543" s="29"/>
      <c r="I543" s="29"/>
    </row>
    <row r="544" ht="14.25" customHeight="1">
      <c r="C544" s="29"/>
      <c r="D544" s="29"/>
      <c r="E544" s="29"/>
      <c r="F544" s="29"/>
      <c r="G544" s="29"/>
      <c r="H544" s="29"/>
      <c r="I544" s="29"/>
    </row>
    <row r="545" ht="14.25" customHeight="1">
      <c r="C545" s="29"/>
      <c r="D545" s="29"/>
      <c r="E545" s="29"/>
      <c r="F545" s="29"/>
      <c r="G545" s="29"/>
      <c r="H545" s="29"/>
      <c r="I545" s="29"/>
    </row>
    <row r="546" ht="14.25" customHeight="1">
      <c r="C546" s="29"/>
      <c r="D546" s="29"/>
      <c r="E546" s="29"/>
      <c r="F546" s="29"/>
      <c r="G546" s="29"/>
      <c r="H546" s="29"/>
      <c r="I546" s="29"/>
    </row>
    <row r="547" ht="14.25" customHeight="1">
      <c r="C547" s="29"/>
      <c r="D547" s="29"/>
      <c r="E547" s="29"/>
      <c r="F547" s="29"/>
      <c r="G547" s="29"/>
      <c r="H547" s="29"/>
      <c r="I547" s="29"/>
    </row>
    <row r="548" ht="14.25" customHeight="1">
      <c r="C548" s="29"/>
      <c r="D548" s="29"/>
      <c r="E548" s="29"/>
      <c r="F548" s="29"/>
      <c r="G548" s="29"/>
      <c r="H548" s="29"/>
      <c r="I548" s="29"/>
    </row>
    <row r="549" ht="14.25" customHeight="1">
      <c r="C549" s="29"/>
      <c r="D549" s="29"/>
      <c r="E549" s="29"/>
      <c r="F549" s="29"/>
      <c r="G549" s="29"/>
      <c r="H549" s="29"/>
      <c r="I549" s="29"/>
    </row>
    <row r="550" ht="14.25" customHeight="1">
      <c r="C550" s="29"/>
      <c r="D550" s="29"/>
      <c r="E550" s="29"/>
      <c r="F550" s="29"/>
      <c r="G550" s="29"/>
      <c r="H550" s="29"/>
      <c r="I550" s="29"/>
    </row>
    <row r="551" ht="14.25" customHeight="1">
      <c r="C551" s="29"/>
      <c r="D551" s="29"/>
      <c r="E551" s="29"/>
      <c r="F551" s="29"/>
      <c r="G551" s="29"/>
      <c r="H551" s="29"/>
      <c r="I551" s="29"/>
    </row>
    <row r="552" ht="14.25" customHeight="1">
      <c r="C552" s="29"/>
      <c r="D552" s="29"/>
      <c r="E552" s="29"/>
      <c r="F552" s="29"/>
      <c r="G552" s="29"/>
      <c r="H552" s="29"/>
      <c r="I552" s="29"/>
    </row>
    <row r="553" ht="14.25" customHeight="1">
      <c r="C553" s="29"/>
      <c r="D553" s="29"/>
      <c r="E553" s="29"/>
      <c r="F553" s="29"/>
      <c r="G553" s="29"/>
      <c r="H553" s="29"/>
      <c r="I553" s="29"/>
    </row>
    <row r="554" ht="14.25" customHeight="1">
      <c r="C554" s="29"/>
      <c r="D554" s="29"/>
      <c r="E554" s="29"/>
      <c r="F554" s="29"/>
      <c r="G554" s="29"/>
      <c r="H554" s="29"/>
      <c r="I554" s="29"/>
    </row>
    <row r="555" ht="14.25" customHeight="1">
      <c r="C555" s="29"/>
      <c r="D555" s="29"/>
      <c r="E555" s="29"/>
      <c r="F555" s="29"/>
      <c r="G555" s="29"/>
      <c r="H555" s="29"/>
      <c r="I555" s="29"/>
    </row>
    <row r="556" ht="14.25" customHeight="1">
      <c r="C556" s="29"/>
      <c r="D556" s="29"/>
      <c r="E556" s="29"/>
      <c r="F556" s="29"/>
      <c r="G556" s="29"/>
      <c r="H556" s="29"/>
      <c r="I556" s="29"/>
    </row>
    <row r="557" ht="14.25" customHeight="1">
      <c r="C557" s="29"/>
      <c r="D557" s="29"/>
      <c r="E557" s="29"/>
      <c r="F557" s="29"/>
      <c r="G557" s="29"/>
      <c r="H557" s="29"/>
      <c r="I557" s="29"/>
    </row>
    <row r="558" ht="14.25" customHeight="1">
      <c r="C558" s="29"/>
      <c r="D558" s="29"/>
      <c r="E558" s="29"/>
      <c r="F558" s="29"/>
      <c r="G558" s="29"/>
      <c r="H558" s="29"/>
      <c r="I558" s="29"/>
    </row>
    <row r="559" ht="14.25" customHeight="1">
      <c r="C559" s="29"/>
      <c r="D559" s="29"/>
      <c r="E559" s="29"/>
      <c r="F559" s="29"/>
      <c r="G559" s="29"/>
      <c r="H559" s="29"/>
      <c r="I559" s="29"/>
    </row>
    <row r="560" ht="14.25" customHeight="1">
      <c r="C560" s="29"/>
      <c r="D560" s="29"/>
      <c r="E560" s="29"/>
      <c r="F560" s="29"/>
      <c r="G560" s="29"/>
      <c r="H560" s="29"/>
      <c r="I560" s="29"/>
    </row>
    <row r="561" ht="14.25" customHeight="1">
      <c r="C561" s="29"/>
      <c r="D561" s="29"/>
      <c r="E561" s="29"/>
      <c r="F561" s="29"/>
      <c r="G561" s="29"/>
      <c r="H561" s="29"/>
      <c r="I561" s="29"/>
    </row>
    <row r="562" ht="14.25" customHeight="1">
      <c r="C562" s="29"/>
      <c r="D562" s="29"/>
      <c r="E562" s="29"/>
      <c r="F562" s="29"/>
      <c r="G562" s="29"/>
      <c r="H562" s="29"/>
      <c r="I562" s="29"/>
    </row>
    <row r="563" ht="14.25" customHeight="1">
      <c r="C563" s="29"/>
      <c r="D563" s="29"/>
      <c r="E563" s="29"/>
      <c r="F563" s="29"/>
      <c r="G563" s="29"/>
      <c r="H563" s="29"/>
      <c r="I563" s="29"/>
    </row>
    <row r="564" ht="14.25" customHeight="1">
      <c r="C564" s="29"/>
      <c r="D564" s="29"/>
      <c r="E564" s="29"/>
      <c r="F564" s="29"/>
      <c r="G564" s="29"/>
      <c r="H564" s="29"/>
      <c r="I564" s="29"/>
    </row>
    <row r="565" ht="14.25" customHeight="1">
      <c r="C565" s="29"/>
      <c r="D565" s="29"/>
      <c r="E565" s="29"/>
      <c r="F565" s="29"/>
      <c r="G565" s="29"/>
      <c r="H565" s="29"/>
      <c r="I565" s="29"/>
    </row>
    <row r="566" ht="14.25" customHeight="1">
      <c r="C566" s="29"/>
      <c r="D566" s="29"/>
      <c r="E566" s="29"/>
      <c r="F566" s="29"/>
      <c r="G566" s="29"/>
      <c r="H566" s="29"/>
      <c r="I566" s="29"/>
    </row>
    <row r="567" ht="14.25" customHeight="1">
      <c r="C567" s="29"/>
      <c r="D567" s="29"/>
      <c r="E567" s="29"/>
      <c r="F567" s="29"/>
      <c r="G567" s="29"/>
      <c r="H567" s="29"/>
      <c r="I567" s="29"/>
    </row>
    <row r="568" ht="14.25" customHeight="1">
      <c r="C568" s="29"/>
      <c r="D568" s="29"/>
      <c r="E568" s="29"/>
      <c r="F568" s="29"/>
      <c r="G568" s="29"/>
      <c r="H568" s="29"/>
      <c r="I568" s="29"/>
    </row>
    <row r="569" ht="14.25" customHeight="1">
      <c r="C569" s="29"/>
      <c r="D569" s="29"/>
      <c r="E569" s="29"/>
      <c r="F569" s="29"/>
      <c r="G569" s="29"/>
      <c r="H569" s="29"/>
      <c r="I569" s="29"/>
    </row>
    <row r="570" ht="14.25" customHeight="1">
      <c r="C570" s="29"/>
      <c r="D570" s="29"/>
      <c r="E570" s="29"/>
      <c r="F570" s="29"/>
      <c r="G570" s="29"/>
      <c r="H570" s="29"/>
      <c r="I570" s="29"/>
    </row>
    <row r="571" ht="14.25" customHeight="1">
      <c r="C571" s="29"/>
      <c r="D571" s="29"/>
      <c r="E571" s="29"/>
      <c r="F571" s="29"/>
      <c r="G571" s="29"/>
      <c r="H571" s="29"/>
      <c r="I571" s="29"/>
    </row>
    <row r="572" ht="14.25" customHeight="1">
      <c r="C572" s="29"/>
      <c r="D572" s="29"/>
      <c r="E572" s="29"/>
      <c r="F572" s="29"/>
      <c r="G572" s="29"/>
      <c r="H572" s="29"/>
      <c r="I572" s="29"/>
    </row>
    <row r="573" ht="14.25" customHeight="1">
      <c r="C573" s="29"/>
      <c r="D573" s="29"/>
      <c r="E573" s="29"/>
      <c r="F573" s="29"/>
      <c r="G573" s="29"/>
      <c r="H573" s="29"/>
      <c r="I573" s="29"/>
    </row>
    <row r="574" ht="14.25" customHeight="1">
      <c r="C574" s="29"/>
      <c r="D574" s="29"/>
      <c r="E574" s="29"/>
      <c r="F574" s="29"/>
      <c r="G574" s="29"/>
      <c r="H574" s="29"/>
      <c r="I574" s="29"/>
    </row>
    <row r="575" ht="14.25" customHeight="1">
      <c r="C575" s="29"/>
      <c r="D575" s="29"/>
      <c r="E575" s="29"/>
      <c r="F575" s="29"/>
      <c r="G575" s="29"/>
      <c r="H575" s="29"/>
      <c r="I575" s="29"/>
    </row>
    <row r="576" ht="14.25" customHeight="1">
      <c r="C576" s="29"/>
      <c r="D576" s="29"/>
      <c r="E576" s="29"/>
      <c r="F576" s="29"/>
      <c r="G576" s="29"/>
      <c r="H576" s="29"/>
      <c r="I576" s="29"/>
    </row>
    <row r="577" ht="14.25" customHeight="1">
      <c r="C577" s="29"/>
      <c r="D577" s="29"/>
      <c r="E577" s="29"/>
      <c r="F577" s="29"/>
      <c r="G577" s="29"/>
      <c r="H577" s="29"/>
      <c r="I577" s="29"/>
    </row>
    <row r="578" ht="14.25" customHeight="1">
      <c r="C578" s="29"/>
      <c r="D578" s="29"/>
      <c r="E578" s="29"/>
      <c r="F578" s="29"/>
      <c r="G578" s="29"/>
      <c r="H578" s="29"/>
      <c r="I578" s="29"/>
    </row>
    <row r="579" ht="14.25" customHeight="1">
      <c r="C579" s="29"/>
      <c r="D579" s="29"/>
      <c r="E579" s="29"/>
      <c r="F579" s="29"/>
      <c r="G579" s="29"/>
      <c r="H579" s="29"/>
      <c r="I579" s="29"/>
    </row>
    <row r="580" ht="14.25" customHeight="1">
      <c r="C580" s="29"/>
      <c r="D580" s="29"/>
      <c r="E580" s="29"/>
      <c r="F580" s="29"/>
      <c r="G580" s="29"/>
      <c r="H580" s="29"/>
      <c r="I580" s="29"/>
    </row>
    <row r="581" ht="14.25" customHeight="1">
      <c r="C581" s="29"/>
      <c r="D581" s="29"/>
      <c r="E581" s="29"/>
      <c r="F581" s="29"/>
      <c r="G581" s="29"/>
      <c r="H581" s="29"/>
      <c r="I581" s="29"/>
    </row>
    <row r="582" ht="14.25" customHeight="1">
      <c r="C582" s="29"/>
      <c r="D582" s="29"/>
      <c r="E582" s="29"/>
      <c r="F582" s="29"/>
      <c r="G582" s="29"/>
      <c r="H582" s="29"/>
      <c r="I582" s="29"/>
    </row>
    <row r="583" ht="14.25" customHeight="1">
      <c r="C583" s="29"/>
      <c r="D583" s="29"/>
      <c r="E583" s="29"/>
      <c r="F583" s="29"/>
      <c r="G583" s="29"/>
      <c r="H583" s="29"/>
      <c r="I583" s="29"/>
    </row>
    <row r="584" ht="14.25" customHeight="1">
      <c r="C584" s="29"/>
      <c r="D584" s="29"/>
      <c r="E584" s="29"/>
      <c r="F584" s="29"/>
      <c r="G584" s="29"/>
      <c r="H584" s="29"/>
      <c r="I584" s="29"/>
    </row>
    <row r="585" ht="14.25" customHeight="1">
      <c r="C585" s="29"/>
      <c r="D585" s="29"/>
      <c r="E585" s="29"/>
      <c r="F585" s="29"/>
      <c r="G585" s="29"/>
      <c r="H585" s="29"/>
      <c r="I585" s="29"/>
    </row>
    <row r="586" ht="14.25" customHeight="1">
      <c r="C586" s="29"/>
      <c r="D586" s="29"/>
      <c r="E586" s="29"/>
      <c r="F586" s="29"/>
      <c r="G586" s="29"/>
      <c r="H586" s="29"/>
      <c r="I586" s="29"/>
    </row>
    <row r="587" ht="14.25" customHeight="1">
      <c r="C587" s="29"/>
      <c r="D587" s="29"/>
      <c r="E587" s="29"/>
      <c r="F587" s="29"/>
      <c r="G587" s="29"/>
      <c r="H587" s="29"/>
      <c r="I587" s="29"/>
    </row>
    <row r="588" ht="14.25" customHeight="1">
      <c r="C588" s="29"/>
      <c r="D588" s="29"/>
      <c r="E588" s="29"/>
      <c r="F588" s="29"/>
      <c r="G588" s="29"/>
      <c r="H588" s="29"/>
      <c r="I588" s="29"/>
    </row>
    <row r="589" ht="14.25" customHeight="1">
      <c r="C589" s="29"/>
      <c r="D589" s="29"/>
      <c r="E589" s="29"/>
      <c r="F589" s="29"/>
      <c r="G589" s="29"/>
      <c r="H589" s="29"/>
      <c r="I589" s="29"/>
    </row>
    <row r="590" ht="14.25" customHeight="1">
      <c r="C590" s="29"/>
      <c r="D590" s="29"/>
      <c r="E590" s="29"/>
      <c r="F590" s="29"/>
      <c r="G590" s="29"/>
      <c r="H590" s="29"/>
      <c r="I590" s="29"/>
    </row>
    <row r="591" ht="14.25" customHeight="1">
      <c r="C591" s="29"/>
      <c r="D591" s="29"/>
      <c r="E591" s="29"/>
      <c r="F591" s="29"/>
      <c r="G591" s="29"/>
      <c r="H591" s="29"/>
      <c r="I591" s="29"/>
    </row>
    <row r="592" ht="14.25" customHeight="1">
      <c r="C592" s="29"/>
      <c r="D592" s="29"/>
      <c r="E592" s="29"/>
      <c r="F592" s="29"/>
      <c r="G592" s="29"/>
      <c r="H592" s="29"/>
      <c r="I592" s="29"/>
    </row>
    <row r="593" ht="14.25" customHeight="1">
      <c r="C593" s="29"/>
      <c r="D593" s="29"/>
      <c r="E593" s="29"/>
      <c r="F593" s="29"/>
      <c r="G593" s="29"/>
      <c r="H593" s="29"/>
      <c r="I593" s="29"/>
    </row>
    <row r="594" ht="14.25" customHeight="1">
      <c r="C594" s="29"/>
      <c r="D594" s="29"/>
      <c r="E594" s="29"/>
      <c r="F594" s="29"/>
      <c r="G594" s="29"/>
      <c r="H594" s="29"/>
      <c r="I594" s="29"/>
    </row>
    <row r="595" ht="14.25" customHeight="1">
      <c r="C595" s="29"/>
      <c r="D595" s="29"/>
      <c r="E595" s="29"/>
      <c r="F595" s="29"/>
      <c r="G595" s="29"/>
      <c r="H595" s="29"/>
      <c r="I595" s="29"/>
    </row>
    <row r="596" ht="14.25" customHeight="1">
      <c r="C596" s="29"/>
      <c r="D596" s="29"/>
      <c r="E596" s="29"/>
      <c r="F596" s="29"/>
      <c r="G596" s="29"/>
      <c r="H596" s="29"/>
      <c r="I596" s="29"/>
    </row>
    <row r="597" ht="14.25" customHeight="1">
      <c r="C597" s="29"/>
      <c r="D597" s="29"/>
      <c r="E597" s="29"/>
      <c r="F597" s="29"/>
      <c r="G597" s="29"/>
      <c r="H597" s="29"/>
      <c r="I597" s="29"/>
    </row>
    <row r="598" ht="14.25" customHeight="1">
      <c r="C598" s="29"/>
      <c r="D598" s="29"/>
      <c r="E598" s="29"/>
      <c r="F598" s="29"/>
      <c r="G598" s="29"/>
      <c r="H598" s="29"/>
      <c r="I598" s="29"/>
    </row>
    <row r="599" ht="14.25" customHeight="1">
      <c r="C599" s="29"/>
      <c r="D599" s="29"/>
      <c r="E599" s="29"/>
      <c r="F599" s="29"/>
      <c r="G599" s="29"/>
      <c r="H599" s="29"/>
      <c r="I599" s="29"/>
    </row>
    <row r="600" ht="14.25" customHeight="1">
      <c r="C600" s="29"/>
      <c r="D600" s="29"/>
      <c r="E600" s="29"/>
      <c r="F600" s="29"/>
      <c r="G600" s="29"/>
      <c r="H600" s="29"/>
      <c r="I600" s="29"/>
    </row>
    <row r="601" ht="14.25" customHeight="1">
      <c r="C601" s="29"/>
      <c r="D601" s="29"/>
      <c r="E601" s="29"/>
      <c r="F601" s="29"/>
      <c r="G601" s="29"/>
      <c r="H601" s="29"/>
      <c r="I601" s="29"/>
    </row>
    <row r="602" ht="14.25" customHeight="1">
      <c r="C602" s="29"/>
      <c r="D602" s="29"/>
      <c r="E602" s="29"/>
      <c r="F602" s="29"/>
      <c r="G602" s="29"/>
      <c r="H602" s="29"/>
      <c r="I602" s="29"/>
    </row>
    <row r="603" ht="14.25" customHeight="1">
      <c r="C603" s="29"/>
      <c r="D603" s="29"/>
      <c r="E603" s="29"/>
      <c r="F603" s="29"/>
      <c r="G603" s="29"/>
      <c r="H603" s="29"/>
      <c r="I603" s="29"/>
    </row>
    <row r="604" ht="14.25" customHeight="1">
      <c r="C604" s="29"/>
      <c r="D604" s="29"/>
      <c r="E604" s="29"/>
      <c r="F604" s="29"/>
      <c r="G604" s="29"/>
      <c r="H604" s="29"/>
      <c r="I604" s="29"/>
    </row>
    <row r="605" ht="14.25" customHeight="1">
      <c r="C605" s="29"/>
      <c r="D605" s="29"/>
      <c r="E605" s="29"/>
      <c r="F605" s="29"/>
      <c r="G605" s="29"/>
      <c r="H605" s="29"/>
      <c r="I605" s="29"/>
    </row>
    <row r="606" ht="14.25" customHeight="1">
      <c r="C606" s="29"/>
      <c r="D606" s="29"/>
      <c r="E606" s="29"/>
      <c r="F606" s="29"/>
      <c r="G606" s="29"/>
      <c r="H606" s="29"/>
      <c r="I606" s="29"/>
    </row>
    <row r="607" ht="14.25" customHeight="1">
      <c r="C607" s="29"/>
      <c r="D607" s="29"/>
      <c r="E607" s="29"/>
      <c r="F607" s="29"/>
      <c r="G607" s="29"/>
      <c r="H607" s="29"/>
      <c r="I607" s="29"/>
    </row>
    <row r="608" ht="14.25" customHeight="1">
      <c r="C608" s="29"/>
      <c r="D608" s="29"/>
      <c r="E608" s="29"/>
      <c r="F608" s="29"/>
      <c r="G608" s="29"/>
      <c r="H608" s="29"/>
      <c r="I608" s="29"/>
    </row>
    <row r="609" ht="14.25" customHeight="1">
      <c r="C609" s="29"/>
      <c r="D609" s="29"/>
      <c r="E609" s="29"/>
      <c r="F609" s="29"/>
      <c r="G609" s="29"/>
      <c r="H609" s="29"/>
      <c r="I609" s="29"/>
    </row>
    <row r="610" ht="14.25" customHeight="1">
      <c r="C610" s="29"/>
      <c r="D610" s="29"/>
      <c r="E610" s="29"/>
      <c r="F610" s="29"/>
      <c r="G610" s="29"/>
      <c r="H610" s="29"/>
      <c r="I610" s="29"/>
    </row>
    <row r="611" ht="14.25" customHeight="1">
      <c r="C611" s="29"/>
      <c r="D611" s="29"/>
      <c r="E611" s="29"/>
      <c r="F611" s="29"/>
      <c r="G611" s="29"/>
      <c r="H611" s="29"/>
      <c r="I611" s="29"/>
    </row>
    <row r="612" ht="14.25" customHeight="1">
      <c r="C612" s="29"/>
      <c r="D612" s="29"/>
      <c r="E612" s="29"/>
      <c r="F612" s="29"/>
      <c r="G612" s="29"/>
      <c r="H612" s="29"/>
      <c r="I612" s="29"/>
    </row>
    <row r="613" ht="14.25" customHeight="1">
      <c r="C613" s="29"/>
      <c r="D613" s="29"/>
      <c r="E613" s="29"/>
      <c r="F613" s="29"/>
      <c r="G613" s="29"/>
      <c r="H613" s="29"/>
      <c r="I613" s="29"/>
    </row>
    <row r="614" ht="14.25" customHeight="1">
      <c r="C614" s="29"/>
      <c r="D614" s="29"/>
      <c r="E614" s="29"/>
      <c r="F614" s="29"/>
      <c r="G614" s="29"/>
      <c r="H614" s="29"/>
      <c r="I614" s="29"/>
    </row>
    <row r="615" ht="14.25" customHeight="1">
      <c r="C615" s="29"/>
      <c r="D615" s="29"/>
      <c r="E615" s="29"/>
      <c r="F615" s="29"/>
      <c r="G615" s="29"/>
      <c r="H615" s="29"/>
      <c r="I615" s="29"/>
    </row>
    <row r="616" ht="14.25" customHeight="1">
      <c r="C616" s="29"/>
      <c r="D616" s="29"/>
      <c r="E616" s="29"/>
      <c r="F616" s="29"/>
      <c r="G616" s="29"/>
      <c r="H616" s="29"/>
      <c r="I616" s="29"/>
    </row>
    <row r="617" ht="14.25" customHeight="1">
      <c r="C617" s="29"/>
      <c r="D617" s="29"/>
      <c r="E617" s="29"/>
      <c r="F617" s="29"/>
      <c r="G617" s="29"/>
      <c r="H617" s="29"/>
      <c r="I617" s="29"/>
    </row>
    <row r="618" ht="14.25" customHeight="1">
      <c r="C618" s="29"/>
      <c r="D618" s="29"/>
      <c r="E618" s="29"/>
      <c r="F618" s="29"/>
      <c r="G618" s="29"/>
      <c r="H618" s="29"/>
      <c r="I618" s="29"/>
    </row>
    <row r="619" ht="14.25" customHeight="1">
      <c r="C619" s="29"/>
      <c r="D619" s="29"/>
      <c r="E619" s="29"/>
      <c r="F619" s="29"/>
      <c r="G619" s="29"/>
      <c r="H619" s="29"/>
      <c r="I619" s="29"/>
    </row>
    <row r="620" ht="14.25" customHeight="1">
      <c r="C620" s="29"/>
      <c r="D620" s="29"/>
      <c r="E620" s="29"/>
      <c r="F620" s="29"/>
      <c r="G620" s="29"/>
      <c r="H620" s="29"/>
      <c r="I620" s="29"/>
    </row>
    <row r="621" ht="14.25" customHeight="1">
      <c r="C621" s="29"/>
      <c r="D621" s="29"/>
      <c r="E621" s="29"/>
      <c r="F621" s="29"/>
      <c r="G621" s="29"/>
      <c r="H621" s="29"/>
      <c r="I621" s="29"/>
    </row>
    <row r="622" ht="14.25" customHeight="1">
      <c r="C622" s="29"/>
      <c r="D622" s="29"/>
      <c r="E622" s="29"/>
      <c r="F622" s="29"/>
      <c r="G622" s="29"/>
      <c r="H622" s="29"/>
      <c r="I622" s="29"/>
    </row>
    <row r="623" ht="14.25" customHeight="1">
      <c r="C623" s="29"/>
      <c r="D623" s="29"/>
      <c r="E623" s="29"/>
      <c r="F623" s="29"/>
      <c r="G623" s="29"/>
      <c r="H623" s="29"/>
      <c r="I623" s="29"/>
    </row>
    <row r="624" ht="14.25" customHeight="1">
      <c r="C624" s="29"/>
      <c r="D624" s="29"/>
      <c r="E624" s="29"/>
      <c r="F624" s="29"/>
      <c r="G624" s="29"/>
      <c r="H624" s="29"/>
      <c r="I624" s="29"/>
    </row>
    <row r="625" ht="14.25" customHeight="1">
      <c r="C625" s="29"/>
      <c r="D625" s="29"/>
      <c r="E625" s="29"/>
      <c r="F625" s="29"/>
      <c r="G625" s="29"/>
      <c r="H625" s="29"/>
      <c r="I625" s="29"/>
    </row>
    <row r="626" ht="14.25" customHeight="1">
      <c r="C626" s="29"/>
      <c r="D626" s="29"/>
      <c r="E626" s="29"/>
      <c r="F626" s="29"/>
      <c r="G626" s="29"/>
      <c r="H626" s="29"/>
      <c r="I626" s="29"/>
    </row>
    <row r="627" ht="14.25" customHeight="1">
      <c r="C627" s="29"/>
      <c r="D627" s="29"/>
      <c r="E627" s="29"/>
      <c r="F627" s="29"/>
      <c r="G627" s="29"/>
      <c r="H627" s="29"/>
      <c r="I627" s="29"/>
    </row>
    <row r="628" ht="14.25" customHeight="1">
      <c r="C628" s="29"/>
      <c r="D628" s="29"/>
      <c r="E628" s="29"/>
      <c r="F628" s="29"/>
      <c r="G628" s="29"/>
      <c r="H628" s="29"/>
      <c r="I628" s="29"/>
    </row>
    <row r="629" ht="14.25" customHeight="1">
      <c r="C629" s="29"/>
      <c r="D629" s="29"/>
      <c r="E629" s="29"/>
      <c r="F629" s="29"/>
      <c r="G629" s="29"/>
      <c r="H629" s="29"/>
      <c r="I629" s="29"/>
    </row>
    <row r="630" ht="14.25" customHeight="1">
      <c r="C630" s="29"/>
      <c r="D630" s="29"/>
      <c r="E630" s="29"/>
      <c r="F630" s="29"/>
      <c r="G630" s="29"/>
      <c r="H630" s="29"/>
      <c r="I630" s="29"/>
    </row>
    <row r="631" ht="14.25" customHeight="1">
      <c r="C631" s="29"/>
      <c r="D631" s="29"/>
      <c r="E631" s="29"/>
      <c r="F631" s="29"/>
      <c r="G631" s="29"/>
      <c r="H631" s="29"/>
      <c r="I631" s="29"/>
    </row>
    <row r="632" ht="14.25" customHeight="1">
      <c r="C632" s="29"/>
      <c r="D632" s="29"/>
      <c r="E632" s="29"/>
      <c r="F632" s="29"/>
      <c r="G632" s="29"/>
      <c r="H632" s="29"/>
      <c r="I632" s="29"/>
    </row>
    <row r="633" ht="14.25" customHeight="1">
      <c r="C633" s="29"/>
      <c r="D633" s="29"/>
      <c r="E633" s="29"/>
      <c r="F633" s="29"/>
      <c r="G633" s="29"/>
      <c r="H633" s="29"/>
      <c r="I633" s="29"/>
    </row>
    <row r="634" ht="14.25" customHeight="1">
      <c r="C634" s="29"/>
      <c r="D634" s="29"/>
      <c r="E634" s="29"/>
      <c r="F634" s="29"/>
      <c r="G634" s="29"/>
      <c r="H634" s="29"/>
      <c r="I634" s="29"/>
    </row>
    <row r="635" ht="14.25" customHeight="1">
      <c r="C635" s="29"/>
      <c r="D635" s="29"/>
      <c r="E635" s="29"/>
      <c r="F635" s="29"/>
      <c r="G635" s="29"/>
      <c r="H635" s="29"/>
      <c r="I635" s="29"/>
    </row>
    <row r="636" ht="14.25" customHeight="1">
      <c r="C636" s="29"/>
      <c r="D636" s="29"/>
      <c r="E636" s="29"/>
      <c r="F636" s="29"/>
      <c r="G636" s="29"/>
      <c r="H636" s="29"/>
      <c r="I636" s="29"/>
    </row>
    <row r="637" ht="14.25" customHeight="1">
      <c r="C637" s="29"/>
      <c r="D637" s="29"/>
      <c r="E637" s="29"/>
      <c r="F637" s="29"/>
      <c r="G637" s="29"/>
      <c r="H637" s="29"/>
      <c r="I637" s="29"/>
    </row>
    <row r="638" ht="14.25" customHeight="1">
      <c r="C638" s="29"/>
      <c r="D638" s="29"/>
      <c r="E638" s="29"/>
      <c r="F638" s="29"/>
      <c r="G638" s="29"/>
      <c r="H638" s="29"/>
      <c r="I638" s="29"/>
    </row>
    <row r="639" ht="14.25" customHeight="1">
      <c r="C639" s="29"/>
      <c r="D639" s="29"/>
      <c r="E639" s="29"/>
      <c r="F639" s="29"/>
      <c r="G639" s="29"/>
      <c r="H639" s="29"/>
      <c r="I639" s="29"/>
    </row>
    <row r="640" ht="14.25" customHeight="1">
      <c r="C640" s="29"/>
      <c r="D640" s="29"/>
      <c r="E640" s="29"/>
      <c r="F640" s="29"/>
      <c r="G640" s="29"/>
      <c r="H640" s="29"/>
      <c r="I640" s="29"/>
    </row>
    <row r="641" ht="14.25" customHeight="1">
      <c r="C641" s="29"/>
      <c r="D641" s="29"/>
      <c r="E641" s="29"/>
      <c r="F641" s="29"/>
      <c r="G641" s="29"/>
      <c r="H641" s="29"/>
      <c r="I641" s="29"/>
    </row>
    <row r="642" ht="14.25" customHeight="1">
      <c r="C642" s="29"/>
      <c r="D642" s="29"/>
      <c r="E642" s="29"/>
      <c r="F642" s="29"/>
      <c r="G642" s="29"/>
      <c r="H642" s="29"/>
      <c r="I642" s="29"/>
    </row>
    <row r="643" ht="14.25" customHeight="1">
      <c r="C643" s="29"/>
      <c r="D643" s="29"/>
      <c r="E643" s="29"/>
      <c r="F643" s="29"/>
      <c r="G643" s="29"/>
      <c r="H643" s="29"/>
      <c r="I643" s="29"/>
    </row>
    <row r="644" ht="14.25" customHeight="1">
      <c r="C644" s="29"/>
      <c r="D644" s="29"/>
      <c r="E644" s="29"/>
      <c r="F644" s="29"/>
      <c r="G644" s="29"/>
      <c r="H644" s="29"/>
      <c r="I644" s="29"/>
    </row>
    <row r="645" ht="14.25" customHeight="1">
      <c r="C645" s="29"/>
      <c r="D645" s="29"/>
      <c r="E645" s="29"/>
      <c r="F645" s="29"/>
      <c r="G645" s="29"/>
      <c r="H645" s="29"/>
      <c r="I645" s="29"/>
    </row>
    <row r="646" ht="14.25" customHeight="1">
      <c r="C646" s="29"/>
      <c r="D646" s="29"/>
      <c r="E646" s="29"/>
      <c r="F646" s="29"/>
      <c r="G646" s="29"/>
      <c r="H646" s="29"/>
      <c r="I646" s="29"/>
    </row>
    <row r="647" ht="14.25" customHeight="1">
      <c r="C647" s="29"/>
      <c r="D647" s="29"/>
      <c r="E647" s="29"/>
      <c r="F647" s="29"/>
      <c r="G647" s="29"/>
      <c r="H647" s="29"/>
      <c r="I647" s="29"/>
    </row>
    <row r="648" ht="14.25" customHeight="1">
      <c r="C648" s="29"/>
      <c r="D648" s="29"/>
      <c r="E648" s="29"/>
      <c r="F648" s="29"/>
      <c r="G648" s="29"/>
      <c r="H648" s="29"/>
      <c r="I648" s="29"/>
    </row>
    <row r="649" ht="14.25" customHeight="1">
      <c r="C649" s="29"/>
      <c r="D649" s="29"/>
      <c r="E649" s="29"/>
      <c r="F649" s="29"/>
      <c r="G649" s="29"/>
      <c r="H649" s="29"/>
      <c r="I649" s="29"/>
    </row>
    <row r="650" ht="14.25" customHeight="1">
      <c r="C650" s="29"/>
      <c r="D650" s="29"/>
      <c r="E650" s="29"/>
      <c r="F650" s="29"/>
      <c r="G650" s="29"/>
      <c r="H650" s="29"/>
      <c r="I650" s="29"/>
    </row>
    <row r="651" ht="14.25" customHeight="1">
      <c r="C651" s="29"/>
      <c r="D651" s="29"/>
      <c r="E651" s="29"/>
      <c r="F651" s="29"/>
      <c r="G651" s="29"/>
      <c r="H651" s="29"/>
      <c r="I651" s="29"/>
    </row>
    <row r="652" ht="14.25" customHeight="1">
      <c r="C652" s="29"/>
      <c r="D652" s="29"/>
      <c r="E652" s="29"/>
      <c r="F652" s="29"/>
      <c r="G652" s="29"/>
      <c r="H652" s="29"/>
      <c r="I652" s="29"/>
    </row>
    <row r="653" ht="14.25" customHeight="1">
      <c r="C653" s="29"/>
      <c r="D653" s="29"/>
      <c r="E653" s="29"/>
      <c r="F653" s="29"/>
      <c r="G653" s="29"/>
      <c r="H653" s="29"/>
      <c r="I653" s="29"/>
    </row>
    <row r="654" ht="14.25" customHeight="1">
      <c r="C654" s="29"/>
      <c r="D654" s="29"/>
      <c r="E654" s="29"/>
      <c r="F654" s="29"/>
      <c r="G654" s="29"/>
      <c r="H654" s="29"/>
      <c r="I654" s="29"/>
    </row>
    <row r="655" ht="14.25" customHeight="1">
      <c r="C655" s="29"/>
      <c r="D655" s="29"/>
      <c r="E655" s="29"/>
      <c r="F655" s="29"/>
      <c r="G655" s="29"/>
      <c r="H655" s="29"/>
      <c r="I655" s="29"/>
    </row>
    <row r="656" ht="14.25" customHeight="1">
      <c r="C656" s="29"/>
      <c r="D656" s="29"/>
      <c r="E656" s="29"/>
      <c r="F656" s="29"/>
      <c r="G656" s="29"/>
      <c r="H656" s="29"/>
      <c r="I656" s="29"/>
    </row>
    <row r="657" ht="14.25" customHeight="1">
      <c r="C657" s="29"/>
      <c r="D657" s="29"/>
      <c r="E657" s="29"/>
      <c r="F657" s="29"/>
      <c r="G657" s="29"/>
      <c r="H657" s="29"/>
      <c r="I657" s="29"/>
    </row>
    <row r="658" ht="14.25" customHeight="1">
      <c r="C658" s="29"/>
      <c r="D658" s="29"/>
      <c r="E658" s="29"/>
      <c r="F658" s="29"/>
      <c r="G658" s="29"/>
      <c r="H658" s="29"/>
      <c r="I658" s="29"/>
    </row>
    <row r="659" ht="14.25" customHeight="1">
      <c r="C659" s="29"/>
      <c r="D659" s="29"/>
      <c r="E659" s="29"/>
      <c r="F659" s="29"/>
      <c r="G659" s="29"/>
      <c r="H659" s="29"/>
      <c r="I659" s="29"/>
    </row>
    <row r="660" ht="14.25" customHeight="1">
      <c r="C660" s="29"/>
      <c r="D660" s="29"/>
      <c r="E660" s="29"/>
      <c r="F660" s="29"/>
      <c r="G660" s="29"/>
      <c r="H660" s="29"/>
      <c r="I660" s="29"/>
    </row>
    <row r="661" ht="14.25" customHeight="1">
      <c r="C661" s="29"/>
      <c r="D661" s="29"/>
      <c r="E661" s="29"/>
      <c r="F661" s="29"/>
      <c r="G661" s="29"/>
      <c r="H661" s="29"/>
      <c r="I661" s="29"/>
    </row>
    <row r="662" ht="14.25" customHeight="1">
      <c r="C662" s="29"/>
      <c r="D662" s="29"/>
      <c r="E662" s="29"/>
      <c r="F662" s="29"/>
      <c r="G662" s="29"/>
      <c r="H662" s="29"/>
      <c r="I662" s="29"/>
    </row>
    <row r="663" ht="14.25" customHeight="1">
      <c r="C663" s="29"/>
      <c r="D663" s="29"/>
      <c r="E663" s="29"/>
      <c r="F663" s="29"/>
      <c r="G663" s="29"/>
      <c r="H663" s="29"/>
      <c r="I663" s="29"/>
    </row>
    <row r="664" ht="14.25" customHeight="1">
      <c r="C664" s="29"/>
      <c r="D664" s="29"/>
      <c r="E664" s="29"/>
      <c r="F664" s="29"/>
      <c r="G664" s="29"/>
      <c r="H664" s="29"/>
      <c r="I664" s="29"/>
    </row>
    <row r="665" ht="14.25" customHeight="1">
      <c r="C665" s="29"/>
      <c r="D665" s="29"/>
      <c r="E665" s="29"/>
      <c r="F665" s="29"/>
      <c r="G665" s="29"/>
      <c r="H665" s="29"/>
      <c r="I665" s="29"/>
    </row>
    <row r="666" ht="14.25" customHeight="1">
      <c r="C666" s="29"/>
      <c r="D666" s="29"/>
      <c r="E666" s="29"/>
      <c r="F666" s="29"/>
      <c r="G666" s="29"/>
      <c r="H666" s="29"/>
      <c r="I666" s="29"/>
    </row>
    <row r="667" ht="14.25" customHeight="1">
      <c r="C667" s="29"/>
      <c r="D667" s="29"/>
      <c r="E667" s="29"/>
      <c r="F667" s="29"/>
      <c r="G667" s="29"/>
      <c r="H667" s="29"/>
      <c r="I667" s="29"/>
    </row>
    <row r="668" ht="14.25" customHeight="1">
      <c r="C668" s="29"/>
      <c r="D668" s="29"/>
      <c r="E668" s="29"/>
      <c r="F668" s="29"/>
      <c r="G668" s="29"/>
      <c r="H668" s="29"/>
      <c r="I668" s="29"/>
    </row>
    <row r="669" ht="14.25" customHeight="1">
      <c r="C669" s="29"/>
      <c r="D669" s="29"/>
      <c r="E669" s="29"/>
      <c r="F669" s="29"/>
      <c r="G669" s="29"/>
      <c r="H669" s="29"/>
      <c r="I669" s="29"/>
    </row>
    <row r="670" ht="14.25" customHeight="1">
      <c r="C670" s="29"/>
      <c r="D670" s="29"/>
      <c r="E670" s="29"/>
      <c r="F670" s="29"/>
      <c r="G670" s="29"/>
      <c r="H670" s="29"/>
      <c r="I670" s="29"/>
    </row>
    <row r="671" ht="14.25" customHeight="1">
      <c r="C671" s="29"/>
      <c r="D671" s="29"/>
      <c r="E671" s="29"/>
      <c r="F671" s="29"/>
      <c r="G671" s="29"/>
      <c r="H671" s="29"/>
      <c r="I671" s="29"/>
    </row>
    <row r="672" ht="14.25" customHeight="1">
      <c r="C672" s="29"/>
      <c r="D672" s="29"/>
      <c r="E672" s="29"/>
      <c r="F672" s="29"/>
      <c r="G672" s="29"/>
      <c r="H672" s="29"/>
      <c r="I672" s="29"/>
    </row>
    <row r="673" ht="14.25" customHeight="1">
      <c r="C673" s="29"/>
      <c r="D673" s="29"/>
      <c r="E673" s="29"/>
      <c r="F673" s="29"/>
      <c r="G673" s="29"/>
      <c r="H673" s="29"/>
      <c r="I673" s="29"/>
    </row>
    <row r="674" ht="14.25" customHeight="1">
      <c r="C674" s="29"/>
      <c r="D674" s="29"/>
      <c r="E674" s="29"/>
      <c r="F674" s="29"/>
      <c r="G674" s="29"/>
      <c r="H674" s="29"/>
      <c r="I674" s="29"/>
    </row>
    <row r="675" ht="14.25" customHeight="1">
      <c r="C675" s="29"/>
      <c r="D675" s="29"/>
      <c r="E675" s="29"/>
      <c r="F675" s="29"/>
      <c r="G675" s="29"/>
      <c r="H675" s="29"/>
      <c r="I675" s="29"/>
    </row>
    <row r="676" ht="14.25" customHeight="1">
      <c r="C676" s="29"/>
      <c r="D676" s="29"/>
      <c r="E676" s="29"/>
      <c r="F676" s="29"/>
      <c r="G676" s="29"/>
      <c r="H676" s="29"/>
      <c r="I676" s="29"/>
    </row>
    <row r="677" ht="14.25" customHeight="1">
      <c r="C677" s="29"/>
      <c r="D677" s="29"/>
      <c r="E677" s="29"/>
      <c r="F677" s="29"/>
      <c r="G677" s="29"/>
      <c r="H677" s="29"/>
      <c r="I677" s="29"/>
    </row>
    <row r="678" ht="14.25" customHeight="1">
      <c r="C678" s="29"/>
      <c r="D678" s="29"/>
      <c r="E678" s="29"/>
      <c r="F678" s="29"/>
      <c r="G678" s="29"/>
      <c r="H678" s="29"/>
      <c r="I678" s="29"/>
    </row>
    <row r="679" ht="14.25" customHeight="1">
      <c r="C679" s="29"/>
      <c r="D679" s="29"/>
      <c r="E679" s="29"/>
      <c r="F679" s="29"/>
      <c r="G679" s="29"/>
      <c r="H679" s="29"/>
      <c r="I679" s="29"/>
    </row>
    <row r="680" ht="14.25" customHeight="1">
      <c r="C680" s="29"/>
      <c r="D680" s="29"/>
      <c r="E680" s="29"/>
      <c r="F680" s="29"/>
      <c r="G680" s="29"/>
      <c r="H680" s="29"/>
      <c r="I680" s="29"/>
    </row>
    <row r="681" ht="14.25" customHeight="1">
      <c r="C681" s="29"/>
      <c r="D681" s="29"/>
      <c r="E681" s="29"/>
      <c r="F681" s="29"/>
      <c r="G681" s="29"/>
      <c r="H681" s="29"/>
      <c r="I681" s="29"/>
    </row>
    <row r="682" ht="14.25" customHeight="1">
      <c r="C682" s="29"/>
      <c r="D682" s="29"/>
      <c r="E682" s="29"/>
      <c r="F682" s="29"/>
      <c r="G682" s="29"/>
      <c r="H682" s="29"/>
      <c r="I682" s="29"/>
    </row>
    <row r="683" ht="14.25" customHeight="1">
      <c r="C683" s="29"/>
      <c r="D683" s="29"/>
      <c r="E683" s="29"/>
      <c r="F683" s="29"/>
      <c r="G683" s="29"/>
      <c r="H683" s="29"/>
      <c r="I683" s="29"/>
    </row>
    <row r="684" ht="14.25" customHeight="1">
      <c r="C684" s="29"/>
      <c r="D684" s="29"/>
      <c r="E684" s="29"/>
      <c r="F684" s="29"/>
      <c r="G684" s="29"/>
      <c r="H684" s="29"/>
      <c r="I684" s="29"/>
    </row>
    <row r="685" ht="14.25" customHeight="1">
      <c r="C685" s="29"/>
      <c r="D685" s="29"/>
      <c r="E685" s="29"/>
      <c r="F685" s="29"/>
      <c r="G685" s="29"/>
      <c r="H685" s="29"/>
      <c r="I685" s="29"/>
    </row>
    <row r="686" ht="14.25" customHeight="1">
      <c r="C686" s="29"/>
      <c r="D686" s="29"/>
      <c r="E686" s="29"/>
      <c r="F686" s="29"/>
      <c r="G686" s="29"/>
      <c r="H686" s="29"/>
      <c r="I686" s="29"/>
    </row>
    <row r="687" ht="14.25" customHeight="1">
      <c r="C687" s="29"/>
      <c r="D687" s="29"/>
      <c r="E687" s="29"/>
      <c r="F687" s="29"/>
      <c r="G687" s="29"/>
      <c r="H687" s="29"/>
      <c r="I687" s="29"/>
    </row>
    <row r="688" ht="14.25" customHeight="1">
      <c r="C688" s="29"/>
      <c r="D688" s="29"/>
      <c r="E688" s="29"/>
      <c r="F688" s="29"/>
      <c r="G688" s="29"/>
      <c r="H688" s="29"/>
      <c r="I688" s="29"/>
    </row>
    <row r="689" ht="14.25" customHeight="1">
      <c r="C689" s="29"/>
      <c r="D689" s="29"/>
      <c r="E689" s="29"/>
      <c r="F689" s="29"/>
      <c r="G689" s="29"/>
      <c r="H689" s="29"/>
      <c r="I689" s="29"/>
    </row>
    <row r="690" ht="14.25" customHeight="1">
      <c r="C690" s="29"/>
      <c r="D690" s="29"/>
      <c r="E690" s="29"/>
      <c r="F690" s="29"/>
      <c r="G690" s="29"/>
      <c r="H690" s="29"/>
      <c r="I690" s="29"/>
    </row>
    <row r="691" ht="14.25" customHeight="1">
      <c r="C691" s="29"/>
      <c r="D691" s="29"/>
      <c r="E691" s="29"/>
      <c r="F691" s="29"/>
      <c r="G691" s="29"/>
      <c r="H691" s="29"/>
      <c r="I691" s="29"/>
    </row>
    <row r="692" ht="14.25" customHeight="1">
      <c r="C692" s="29"/>
      <c r="D692" s="29"/>
      <c r="E692" s="29"/>
      <c r="F692" s="29"/>
      <c r="G692" s="29"/>
      <c r="H692" s="29"/>
      <c r="I692" s="29"/>
    </row>
    <row r="693" ht="14.25" customHeight="1">
      <c r="C693" s="29"/>
      <c r="D693" s="29"/>
      <c r="E693" s="29"/>
      <c r="F693" s="29"/>
      <c r="G693" s="29"/>
      <c r="H693" s="29"/>
      <c r="I693" s="29"/>
    </row>
    <row r="694" ht="14.25" customHeight="1">
      <c r="C694" s="29"/>
      <c r="D694" s="29"/>
      <c r="E694" s="29"/>
      <c r="F694" s="29"/>
      <c r="G694" s="29"/>
      <c r="H694" s="29"/>
      <c r="I694" s="29"/>
    </row>
    <row r="695" ht="14.25" customHeight="1">
      <c r="C695" s="29"/>
      <c r="D695" s="29"/>
      <c r="E695" s="29"/>
      <c r="F695" s="29"/>
      <c r="G695" s="29"/>
      <c r="H695" s="29"/>
      <c r="I695" s="29"/>
    </row>
    <row r="696" ht="14.25" customHeight="1">
      <c r="C696" s="29"/>
      <c r="D696" s="29"/>
      <c r="E696" s="29"/>
      <c r="F696" s="29"/>
      <c r="G696" s="29"/>
      <c r="H696" s="29"/>
      <c r="I696" s="29"/>
    </row>
    <row r="697" ht="14.25" customHeight="1">
      <c r="C697" s="29"/>
      <c r="D697" s="29"/>
      <c r="E697" s="29"/>
      <c r="F697" s="29"/>
      <c r="G697" s="29"/>
      <c r="H697" s="29"/>
      <c r="I697" s="29"/>
    </row>
    <row r="698" ht="14.25" customHeight="1">
      <c r="C698" s="29"/>
      <c r="D698" s="29"/>
      <c r="E698" s="29"/>
      <c r="F698" s="29"/>
      <c r="G698" s="29"/>
      <c r="H698" s="29"/>
      <c r="I698" s="29"/>
    </row>
    <row r="699" ht="14.25" customHeight="1">
      <c r="C699" s="29"/>
      <c r="D699" s="29"/>
      <c r="E699" s="29"/>
      <c r="F699" s="29"/>
      <c r="G699" s="29"/>
      <c r="H699" s="29"/>
      <c r="I699" s="29"/>
    </row>
    <row r="700" ht="14.25" customHeight="1">
      <c r="C700" s="29"/>
      <c r="D700" s="29"/>
      <c r="E700" s="29"/>
      <c r="F700" s="29"/>
      <c r="G700" s="29"/>
      <c r="H700" s="29"/>
      <c r="I700" s="29"/>
    </row>
    <row r="701" ht="14.25" customHeight="1">
      <c r="C701" s="29"/>
      <c r="D701" s="29"/>
      <c r="E701" s="29"/>
      <c r="F701" s="29"/>
      <c r="G701" s="29"/>
      <c r="H701" s="29"/>
      <c r="I701" s="29"/>
    </row>
    <row r="702" ht="14.25" customHeight="1">
      <c r="C702" s="29"/>
      <c r="D702" s="29"/>
      <c r="E702" s="29"/>
      <c r="F702" s="29"/>
      <c r="G702" s="29"/>
      <c r="H702" s="29"/>
      <c r="I702" s="29"/>
    </row>
    <row r="703" ht="14.25" customHeight="1">
      <c r="C703" s="29"/>
      <c r="D703" s="29"/>
      <c r="E703" s="29"/>
      <c r="F703" s="29"/>
      <c r="G703" s="29"/>
      <c r="H703" s="29"/>
      <c r="I703" s="29"/>
    </row>
    <row r="704" ht="14.25" customHeight="1">
      <c r="C704" s="29"/>
      <c r="D704" s="29"/>
      <c r="E704" s="29"/>
      <c r="F704" s="29"/>
      <c r="G704" s="29"/>
      <c r="H704" s="29"/>
      <c r="I704" s="29"/>
    </row>
    <row r="705" ht="14.25" customHeight="1">
      <c r="C705" s="29"/>
      <c r="D705" s="29"/>
      <c r="E705" s="29"/>
      <c r="F705" s="29"/>
      <c r="G705" s="29"/>
      <c r="H705" s="29"/>
      <c r="I705" s="29"/>
    </row>
    <row r="706" ht="14.25" customHeight="1">
      <c r="C706" s="29"/>
      <c r="D706" s="29"/>
      <c r="E706" s="29"/>
      <c r="F706" s="29"/>
      <c r="G706" s="29"/>
      <c r="H706" s="29"/>
      <c r="I706" s="29"/>
    </row>
    <row r="707" ht="14.25" customHeight="1">
      <c r="C707" s="29"/>
      <c r="D707" s="29"/>
      <c r="E707" s="29"/>
      <c r="F707" s="29"/>
      <c r="G707" s="29"/>
      <c r="H707" s="29"/>
      <c r="I707" s="29"/>
    </row>
    <row r="708" ht="14.25" customHeight="1">
      <c r="C708" s="29"/>
      <c r="D708" s="29"/>
      <c r="E708" s="29"/>
      <c r="F708" s="29"/>
      <c r="G708" s="29"/>
      <c r="H708" s="29"/>
      <c r="I708" s="29"/>
    </row>
    <row r="709" ht="14.25" customHeight="1">
      <c r="C709" s="29"/>
      <c r="D709" s="29"/>
      <c r="E709" s="29"/>
      <c r="F709" s="29"/>
      <c r="G709" s="29"/>
      <c r="H709" s="29"/>
      <c r="I709" s="29"/>
    </row>
    <row r="710" ht="14.25" customHeight="1">
      <c r="C710" s="29"/>
      <c r="D710" s="29"/>
      <c r="E710" s="29"/>
      <c r="F710" s="29"/>
      <c r="G710" s="29"/>
      <c r="H710" s="29"/>
      <c r="I710" s="29"/>
    </row>
    <row r="711" ht="14.25" customHeight="1">
      <c r="C711" s="29"/>
      <c r="D711" s="29"/>
      <c r="E711" s="29"/>
      <c r="F711" s="29"/>
      <c r="G711" s="29"/>
      <c r="H711" s="29"/>
      <c r="I711" s="29"/>
    </row>
    <row r="712" ht="14.25" customHeight="1">
      <c r="C712" s="29"/>
      <c r="D712" s="29"/>
      <c r="E712" s="29"/>
      <c r="F712" s="29"/>
      <c r="G712" s="29"/>
      <c r="H712" s="29"/>
      <c r="I712" s="29"/>
    </row>
    <row r="713" ht="14.25" customHeight="1">
      <c r="C713" s="29"/>
      <c r="D713" s="29"/>
      <c r="E713" s="29"/>
      <c r="F713" s="29"/>
      <c r="G713" s="29"/>
      <c r="H713" s="29"/>
      <c r="I713" s="29"/>
    </row>
    <row r="714" ht="14.25" customHeight="1">
      <c r="C714" s="29"/>
      <c r="D714" s="29"/>
      <c r="E714" s="29"/>
      <c r="F714" s="29"/>
      <c r="G714" s="29"/>
      <c r="H714" s="29"/>
      <c r="I714" s="29"/>
    </row>
    <row r="715" ht="14.25" customHeight="1">
      <c r="C715" s="29"/>
      <c r="D715" s="29"/>
      <c r="E715" s="29"/>
      <c r="F715" s="29"/>
      <c r="G715" s="29"/>
      <c r="H715" s="29"/>
      <c r="I715" s="29"/>
    </row>
    <row r="716" ht="14.25" customHeight="1">
      <c r="C716" s="29"/>
      <c r="D716" s="29"/>
      <c r="E716" s="29"/>
      <c r="F716" s="29"/>
      <c r="G716" s="29"/>
      <c r="H716" s="29"/>
      <c r="I716" s="29"/>
    </row>
    <row r="717" ht="14.25" customHeight="1">
      <c r="C717" s="29"/>
      <c r="D717" s="29"/>
      <c r="E717" s="29"/>
      <c r="F717" s="29"/>
      <c r="G717" s="29"/>
      <c r="H717" s="29"/>
      <c r="I717" s="29"/>
    </row>
    <row r="718" ht="14.25" customHeight="1">
      <c r="C718" s="29"/>
      <c r="D718" s="29"/>
      <c r="E718" s="29"/>
      <c r="F718" s="29"/>
      <c r="G718" s="29"/>
      <c r="H718" s="29"/>
      <c r="I718" s="29"/>
    </row>
    <row r="719" ht="14.25" customHeight="1">
      <c r="C719" s="29"/>
      <c r="D719" s="29"/>
      <c r="E719" s="29"/>
      <c r="F719" s="29"/>
      <c r="G719" s="29"/>
      <c r="H719" s="29"/>
      <c r="I719" s="29"/>
    </row>
    <row r="720" ht="14.25" customHeight="1">
      <c r="C720" s="29"/>
      <c r="D720" s="29"/>
      <c r="E720" s="29"/>
      <c r="F720" s="29"/>
      <c r="G720" s="29"/>
      <c r="H720" s="29"/>
      <c r="I720" s="29"/>
    </row>
    <row r="721" ht="14.25" customHeight="1">
      <c r="C721" s="29"/>
      <c r="D721" s="29"/>
      <c r="E721" s="29"/>
      <c r="F721" s="29"/>
      <c r="G721" s="29"/>
      <c r="H721" s="29"/>
      <c r="I721" s="29"/>
    </row>
    <row r="722" ht="14.25" customHeight="1">
      <c r="C722" s="29"/>
      <c r="D722" s="29"/>
      <c r="E722" s="29"/>
      <c r="F722" s="29"/>
      <c r="G722" s="29"/>
      <c r="H722" s="29"/>
      <c r="I722" s="29"/>
    </row>
    <row r="723" ht="14.25" customHeight="1">
      <c r="C723" s="29"/>
      <c r="D723" s="29"/>
      <c r="E723" s="29"/>
      <c r="F723" s="29"/>
      <c r="G723" s="29"/>
      <c r="H723" s="29"/>
      <c r="I723" s="29"/>
    </row>
    <row r="724" ht="14.25" customHeight="1">
      <c r="C724" s="29"/>
      <c r="D724" s="29"/>
      <c r="E724" s="29"/>
      <c r="F724" s="29"/>
      <c r="G724" s="29"/>
      <c r="H724" s="29"/>
      <c r="I724" s="29"/>
    </row>
    <row r="725" ht="14.25" customHeight="1">
      <c r="C725" s="29"/>
      <c r="D725" s="29"/>
      <c r="E725" s="29"/>
      <c r="F725" s="29"/>
      <c r="G725" s="29"/>
      <c r="H725" s="29"/>
      <c r="I725" s="29"/>
    </row>
    <row r="726" ht="14.25" customHeight="1">
      <c r="C726" s="29"/>
      <c r="D726" s="29"/>
      <c r="E726" s="29"/>
      <c r="F726" s="29"/>
      <c r="G726" s="29"/>
      <c r="H726" s="29"/>
      <c r="I726" s="29"/>
    </row>
    <row r="727" ht="14.25" customHeight="1">
      <c r="C727" s="29"/>
      <c r="D727" s="29"/>
      <c r="E727" s="29"/>
      <c r="F727" s="29"/>
      <c r="G727" s="29"/>
      <c r="H727" s="29"/>
      <c r="I727" s="29"/>
    </row>
    <row r="728" ht="14.25" customHeight="1">
      <c r="C728" s="29"/>
      <c r="D728" s="29"/>
      <c r="E728" s="29"/>
      <c r="F728" s="29"/>
      <c r="G728" s="29"/>
      <c r="H728" s="29"/>
      <c r="I728" s="29"/>
    </row>
    <row r="729" ht="14.25" customHeight="1">
      <c r="C729" s="29"/>
      <c r="D729" s="29"/>
      <c r="E729" s="29"/>
      <c r="F729" s="29"/>
      <c r="G729" s="29"/>
      <c r="H729" s="29"/>
      <c r="I729" s="29"/>
    </row>
    <row r="730" ht="14.25" customHeight="1">
      <c r="C730" s="29"/>
      <c r="D730" s="29"/>
      <c r="E730" s="29"/>
      <c r="F730" s="29"/>
      <c r="G730" s="29"/>
      <c r="H730" s="29"/>
      <c r="I730" s="29"/>
    </row>
    <row r="731" ht="14.25" customHeight="1">
      <c r="C731" s="29"/>
      <c r="D731" s="29"/>
      <c r="E731" s="29"/>
      <c r="F731" s="29"/>
      <c r="G731" s="29"/>
      <c r="H731" s="29"/>
      <c r="I731" s="29"/>
    </row>
    <row r="732" ht="14.25" customHeight="1">
      <c r="C732" s="29"/>
      <c r="D732" s="29"/>
      <c r="E732" s="29"/>
      <c r="F732" s="29"/>
      <c r="G732" s="29"/>
      <c r="H732" s="29"/>
      <c r="I732" s="29"/>
    </row>
    <row r="733" ht="14.25" customHeight="1">
      <c r="C733" s="29"/>
      <c r="D733" s="29"/>
      <c r="E733" s="29"/>
      <c r="F733" s="29"/>
      <c r="G733" s="29"/>
      <c r="H733" s="29"/>
      <c r="I733" s="29"/>
    </row>
    <row r="734" ht="14.25" customHeight="1">
      <c r="C734" s="29"/>
      <c r="D734" s="29"/>
      <c r="E734" s="29"/>
      <c r="F734" s="29"/>
      <c r="G734" s="29"/>
      <c r="H734" s="29"/>
      <c r="I734" s="29"/>
    </row>
    <row r="735" ht="14.25" customHeight="1">
      <c r="C735" s="29"/>
      <c r="D735" s="29"/>
      <c r="E735" s="29"/>
      <c r="F735" s="29"/>
      <c r="G735" s="29"/>
      <c r="H735" s="29"/>
      <c r="I735" s="29"/>
    </row>
    <row r="736" ht="14.25" customHeight="1">
      <c r="C736" s="29"/>
      <c r="D736" s="29"/>
      <c r="E736" s="29"/>
      <c r="F736" s="29"/>
      <c r="G736" s="29"/>
      <c r="H736" s="29"/>
      <c r="I736" s="29"/>
    </row>
    <row r="737" ht="14.25" customHeight="1">
      <c r="C737" s="29"/>
      <c r="D737" s="29"/>
      <c r="E737" s="29"/>
      <c r="F737" s="29"/>
      <c r="G737" s="29"/>
      <c r="H737" s="29"/>
      <c r="I737" s="29"/>
    </row>
    <row r="738" ht="14.25" customHeight="1">
      <c r="C738" s="29"/>
      <c r="D738" s="29"/>
      <c r="E738" s="29"/>
      <c r="F738" s="29"/>
      <c r="G738" s="29"/>
      <c r="H738" s="29"/>
      <c r="I738" s="29"/>
    </row>
    <row r="739" ht="14.25" customHeight="1">
      <c r="C739" s="29"/>
      <c r="D739" s="29"/>
      <c r="E739" s="29"/>
      <c r="F739" s="29"/>
      <c r="G739" s="29"/>
      <c r="H739" s="29"/>
      <c r="I739" s="29"/>
    </row>
    <row r="740" ht="14.25" customHeight="1">
      <c r="C740" s="29"/>
      <c r="D740" s="29"/>
      <c r="E740" s="29"/>
      <c r="F740" s="29"/>
      <c r="G740" s="29"/>
      <c r="H740" s="29"/>
      <c r="I740" s="29"/>
    </row>
    <row r="741" ht="14.25" customHeight="1">
      <c r="C741" s="29"/>
      <c r="D741" s="29"/>
      <c r="E741" s="29"/>
      <c r="F741" s="29"/>
      <c r="G741" s="29"/>
      <c r="H741" s="29"/>
      <c r="I741" s="29"/>
    </row>
    <row r="742" ht="14.25" customHeight="1">
      <c r="C742" s="29"/>
      <c r="D742" s="29"/>
      <c r="E742" s="29"/>
      <c r="F742" s="29"/>
      <c r="G742" s="29"/>
      <c r="H742" s="29"/>
      <c r="I742" s="29"/>
    </row>
    <row r="743" ht="14.25" customHeight="1">
      <c r="C743" s="29"/>
      <c r="D743" s="29"/>
      <c r="E743" s="29"/>
      <c r="F743" s="29"/>
      <c r="G743" s="29"/>
      <c r="H743" s="29"/>
      <c r="I743" s="29"/>
    </row>
    <row r="744" ht="14.25" customHeight="1">
      <c r="C744" s="29"/>
      <c r="D744" s="29"/>
      <c r="E744" s="29"/>
      <c r="F744" s="29"/>
      <c r="G744" s="29"/>
      <c r="H744" s="29"/>
      <c r="I744" s="29"/>
    </row>
    <row r="745" ht="14.25" customHeight="1">
      <c r="C745" s="29"/>
      <c r="D745" s="29"/>
      <c r="E745" s="29"/>
      <c r="F745" s="29"/>
      <c r="G745" s="29"/>
      <c r="H745" s="29"/>
      <c r="I745" s="29"/>
    </row>
    <row r="746" ht="14.25" customHeight="1">
      <c r="C746" s="29"/>
      <c r="D746" s="29"/>
      <c r="E746" s="29"/>
      <c r="F746" s="29"/>
      <c r="G746" s="29"/>
      <c r="H746" s="29"/>
      <c r="I746" s="29"/>
    </row>
    <row r="747" ht="14.25" customHeight="1">
      <c r="C747" s="29"/>
      <c r="D747" s="29"/>
      <c r="E747" s="29"/>
      <c r="F747" s="29"/>
      <c r="G747" s="29"/>
      <c r="H747" s="29"/>
      <c r="I747" s="29"/>
    </row>
    <row r="748" ht="14.25" customHeight="1">
      <c r="C748" s="29"/>
      <c r="D748" s="29"/>
      <c r="E748" s="29"/>
      <c r="F748" s="29"/>
      <c r="G748" s="29"/>
      <c r="H748" s="29"/>
      <c r="I748" s="29"/>
    </row>
    <row r="749" ht="14.25" customHeight="1">
      <c r="C749" s="29"/>
      <c r="D749" s="29"/>
      <c r="E749" s="29"/>
      <c r="F749" s="29"/>
      <c r="G749" s="29"/>
      <c r="H749" s="29"/>
      <c r="I749" s="29"/>
    </row>
    <row r="750" ht="14.25" customHeight="1">
      <c r="C750" s="29"/>
      <c r="D750" s="29"/>
      <c r="E750" s="29"/>
      <c r="F750" s="29"/>
      <c r="G750" s="29"/>
      <c r="H750" s="29"/>
      <c r="I750" s="29"/>
    </row>
    <row r="751" ht="14.25" customHeight="1">
      <c r="C751" s="29"/>
      <c r="D751" s="29"/>
      <c r="E751" s="29"/>
      <c r="F751" s="29"/>
      <c r="G751" s="29"/>
      <c r="H751" s="29"/>
      <c r="I751" s="29"/>
    </row>
    <row r="752" ht="14.25" customHeight="1">
      <c r="C752" s="29"/>
      <c r="D752" s="29"/>
      <c r="E752" s="29"/>
      <c r="F752" s="29"/>
      <c r="G752" s="29"/>
      <c r="H752" s="29"/>
      <c r="I752" s="29"/>
    </row>
    <row r="753" ht="14.25" customHeight="1">
      <c r="C753" s="29"/>
      <c r="D753" s="29"/>
      <c r="E753" s="29"/>
      <c r="F753" s="29"/>
      <c r="G753" s="29"/>
      <c r="H753" s="29"/>
      <c r="I753" s="29"/>
    </row>
    <row r="754" ht="14.25" customHeight="1">
      <c r="C754" s="29"/>
      <c r="D754" s="29"/>
      <c r="E754" s="29"/>
      <c r="F754" s="29"/>
      <c r="G754" s="29"/>
      <c r="H754" s="29"/>
      <c r="I754" s="29"/>
    </row>
    <row r="755" ht="14.25" customHeight="1">
      <c r="C755" s="29"/>
      <c r="D755" s="29"/>
      <c r="E755" s="29"/>
      <c r="F755" s="29"/>
      <c r="G755" s="29"/>
      <c r="H755" s="29"/>
      <c r="I755" s="29"/>
    </row>
    <row r="756" ht="14.25" customHeight="1">
      <c r="C756" s="29"/>
      <c r="D756" s="29"/>
      <c r="E756" s="29"/>
      <c r="F756" s="29"/>
      <c r="G756" s="29"/>
      <c r="H756" s="29"/>
      <c r="I756" s="29"/>
    </row>
    <row r="757" ht="14.25" customHeight="1">
      <c r="C757" s="29"/>
      <c r="D757" s="29"/>
      <c r="E757" s="29"/>
      <c r="F757" s="29"/>
      <c r="G757" s="29"/>
      <c r="H757" s="29"/>
      <c r="I757" s="29"/>
    </row>
    <row r="758" ht="14.25" customHeight="1">
      <c r="C758" s="29"/>
      <c r="D758" s="29"/>
      <c r="E758" s="29"/>
      <c r="F758" s="29"/>
      <c r="G758" s="29"/>
      <c r="H758" s="29"/>
      <c r="I758" s="29"/>
    </row>
    <row r="759" ht="14.25" customHeight="1">
      <c r="C759" s="29"/>
      <c r="D759" s="29"/>
      <c r="E759" s="29"/>
      <c r="F759" s="29"/>
      <c r="G759" s="29"/>
      <c r="H759" s="29"/>
      <c r="I759" s="29"/>
    </row>
    <row r="760" ht="14.25" customHeight="1">
      <c r="C760" s="29"/>
      <c r="D760" s="29"/>
      <c r="E760" s="29"/>
      <c r="F760" s="29"/>
      <c r="G760" s="29"/>
      <c r="H760" s="29"/>
      <c r="I760" s="29"/>
    </row>
    <row r="761" ht="14.25" customHeight="1">
      <c r="C761" s="29"/>
      <c r="D761" s="29"/>
      <c r="E761" s="29"/>
      <c r="F761" s="29"/>
      <c r="G761" s="29"/>
      <c r="H761" s="29"/>
      <c r="I761" s="29"/>
    </row>
    <row r="762" ht="14.25" customHeight="1">
      <c r="C762" s="29"/>
      <c r="D762" s="29"/>
      <c r="E762" s="29"/>
      <c r="F762" s="29"/>
      <c r="G762" s="29"/>
      <c r="H762" s="29"/>
      <c r="I762" s="29"/>
    </row>
    <row r="763" ht="14.25" customHeight="1">
      <c r="C763" s="29"/>
      <c r="D763" s="29"/>
      <c r="E763" s="29"/>
      <c r="F763" s="29"/>
      <c r="G763" s="29"/>
      <c r="H763" s="29"/>
      <c r="I763" s="29"/>
    </row>
    <row r="764" ht="14.25" customHeight="1">
      <c r="C764" s="29"/>
      <c r="D764" s="29"/>
      <c r="E764" s="29"/>
      <c r="F764" s="29"/>
      <c r="G764" s="29"/>
      <c r="H764" s="29"/>
      <c r="I764" s="29"/>
    </row>
    <row r="765" ht="14.25" customHeight="1">
      <c r="C765" s="29"/>
      <c r="D765" s="29"/>
      <c r="E765" s="29"/>
      <c r="F765" s="29"/>
      <c r="G765" s="29"/>
      <c r="H765" s="29"/>
      <c r="I765" s="29"/>
    </row>
    <row r="766" ht="14.25" customHeight="1">
      <c r="C766" s="29"/>
      <c r="D766" s="29"/>
      <c r="E766" s="29"/>
      <c r="F766" s="29"/>
      <c r="G766" s="29"/>
      <c r="H766" s="29"/>
      <c r="I766" s="29"/>
    </row>
    <row r="767" ht="14.25" customHeight="1">
      <c r="C767" s="29"/>
      <c r="D767" s="29"/>
      <c r="E767" s="29"/>
      <c r="F767" s="29"/>
      <c r="G767" s="29"/>
      <c r="H767" s="29"/>
      <c r="I767" s="29"/>
    </row>
    <row r="768" ht="14.25" customHeight="1">
      <c r="C768" s="29"/>
      <c r="D768" s="29"/>
      <c r="E768" s="29"/>
      <c r="F768" s="29"/>
      <c r="G768" s="29"/>
      <c r="H768" s="29"/>
      <c r="I768" s="29"/>
    </row>
    <row r="769" ht="14.25" customHeight="1">
      <c r="C769" s="29"/>
      <c r="D769" s="29"/>
      <c r="E769" s="29"/>
      <c r="F769" s="29"/>
      <c r="G769" s="29"/>
      <c r="H769" s="29"/>
      <c r="I769" s="29"/>
    </row>
    <row r="770" ht="14.25" customHeight="1">
      <c r="C770" s="29"/>
      <c r="D770" s="29"/>
      <c r="E770" s="29"/>
      <c r="F770" s="29"/>
      <c r="G770" s="29"/>
      <c r="H770" s="29"/>
      <c r="I770" s="29"/>
    </row>
    <row r="771" ht="14.25" customHeight="1">
      <c r="C771" s="29"/>
      <c r="D771" s="29"/>
      <c r="E771" s="29"/>
      <c r="F771" s="29"/>
      <c r="G771" s="29"/>
      <c r="H771" s="29"/>
      <c r="I771" s="29"/>
    </row>
    <row r="772" ht="14.25" customHeight="1">
      <c r="C772" s="29"/>
      <c r="D772" s="29"/>
      <c r="E772" s="29"/>
      <c r="F772" s="29"/>
      <c r="G772" s="29"/>
      <c r="H772" s="29"/>
      <c r="I772" s="29"/>
    </row>
    <row r="773" ht="14.25" customHeight="1">
      <c r="C773" s="29"/>
      <c r="D773" s="29"/>
      <c r="E773" s="29"/>
      <c r="F773" s="29"/>
      <c r="G773" s="29"/>
      <c r="H773" s="29"/>
      <c r="I773" s="29"/>
    </row>
    <row r="774" ht="14.25" customHeight="1">
      <c r="C774" s="29"/>
      <c r="D774" s="29"/>
      <c r="E774" s="29"/>
      <c r="F774" s="29"/>
      <c r="G774" s="29"/>
      <c r="H774" s="29"/>
      <c r="I774" s="29"/>
    </row>
    <row r="775" ht="14.25" customHeight="1">
      <c r="C775" s="29"/>
      <c r="D775" s="29"/>
      <c r="E775" s="29"/>
      <c r="F775" s="29"/>
      <c r="G775" s="29"/>
      <c r="H775" s="29"/>
      <c r="I775" s="29"/>
    </row>
    <row r="776" ht="14.25" customHeight="1">
      <c r="C776" s="29"/>
      <c r="D776" s="29"/>
      <c r="E776" s="29"/>
      <c r="F776" s="29"/>
      <c r="G776" s="29"/>
      <c r="H776" s="29"/>
      <c r="I776" s="29"/>
    </row>
    <row r="777" ht="14.25" customHeight="1">
      <c r="C777" s="29"/>
      <c r="D777" s="29"/>
      <c r="E777" s="29"/>
      <c r="F777" s="29"/>
      <c r="G777" s="29"/>
      <c r="H777" s="29"/>
      <c r="I777" s="29"/>
    </row>
    <row r="778" ht="14.25" customHeight="1">
      <c r="C778" s="29"/>
      <c r="D778" s="29"/>
      <c r="E778" s="29"/>
      <c r="F778" s="29"/>
      <c r="G778" s="29"/>
      <c r="H778" s="29"/>
      <c r="I778" s="29"/>
    </row>
    <row r="779" ht="14.25" customHeight="1">
      <c r="C779" s="29"/>
      <c r="D779" s="29"/>
      <c r="E779" s="29"/>
      <c r="F779" s="29"/>
      <c r="G779" s="29"/>
      <c r="H779" s="29"/>
      <c r="I779" s="29"/>
    </row>
    <row r="780" ht="14.25" customHeight="1">
      <c r="C780" s="29"/>
      <c r="D780" s="29"/>
      <c r="E780" s="29"/>
      <c r="F780" s="29"/>
      <c r="G780" s="29"/>
      <c r="H780" s="29"/>
      <c r="I780" s="29"/>
    </row>
    <row r="781" ht="14.25" customHeight="1">
      <c r="C781" s="29"/>
      <c r="D781" s="29"/>
      <c r="E781" s="29"/>
      <c r="F781" s="29"/>
      <c r="G781" s="29"/>
      <c r="H781" s="29"/>
      <c r="I781" s="29"/>
    </row>
    <row r="782" ht="14.25" customHeight="1">
      <c r="C782" s="29"/>
      <c r="D782" s="29"/>
      <c r="E782" s="29"/>
      <c r="F782" s="29"/>
      <c r="G782" s="29"/>
      <c r="H782" s="29"/>
      <c r="I782" s="29"/>
    </row>
    <row r="783" ht="14.25" customHeight="1">
      <c r="C783" s="29"/>
      <c r="D783" s="29"/>
      <c r="E783" s="29"/>
      <c r="F783" s="29"/>
      <c r="G783" s="29"/>
      <c r="H783" s="29"/>
      <c r="I783" s="29"/>
    </row>
    <row r="784" ht="14.25" customHeight="1">
      <c r="C784" s="29"/>
      <c r="D784" s="29"/>
      <c r="E784" s="29"/>
      <c r="F784" s="29"/>
      <c r="G784" s="29"/>
      <c r="H784" s="29"/>
      <c r="I784" s="29"/>
    </row>
    <row r="785" ht="14.25" customHeight="1">
      <c r="C785" s="29"/>
      <c r="D785" s="29"/>
      <c r="E785" s="29"/>
      <c r="F785" s="29"/>
      <c r="G785" s="29"/>
      <c r="H785" s="29"/>
      <c r="I785" s="29"/>
    </row>
    <row r="786" ht="14.25" customHeight="1">
      <c r="C786" s="29"/>
      <c r="D786" s="29"/>
      <c r="E786" s="29"/>
      <c r="F786" s="29"/>
      <c r="G786" s="29"/>
      <c r="H786" s="29"/>
      <c r="I786" s="29"/>
    </row>
    <row r="787" ht="14.25" customHeight="1">
      <c r="C787" s="29"/>
      <c r="D787" s="29"/>
      <c r="E787" s="29"/>
      <c r="F787" s="29"/>
      <c r="G787" s="29"/>
      <c r="H787" s="29"/>
      <c r="I787" s="29"/>
    </row>
    <row r="788" ht="14.25" customHeight="1">
      <c r="C788" s="29"/>
      <c r="D788" s="29"/>
      <c r="E788" s="29"/>
      <c r="F788" s="29"/>
      <c r="G788" s="29"/>
      <c r="H788" s="29"/>
      <c r="I788" s="29"/>
    </row>
    <row r="789" ht="14.25" customHeight="1">
      <c r="C789" s="29"/>
      <c r="D789" s="29"/>
      <c r="E789" s="29"/>
      <c r="F789" s="29"/>
      <c r="G789" s="29"/>
      <c r="H789" s="29"/>
      <c r="I789" s="29"/>
    </row>
    <row r="790" ht="14.25" customHeight="1">
      <c r="C790" s="29"/>
      <c r="D790" s="29"/>
      <c r="E790" s="29"/>
      <c r="F790" s="29"/>
      <c r="G790" s="29"/>
      <c r="H790" s="29"/>
      <c r="I790" s="29"/>
    </row>
    <row r="791" ht="14.25" customHeight="1">
      <c r="C791" s="29"/>
      <c r="D791" s="29"/>
      <c r="E791" s="29"/>
      <c r="F791" s="29"/>
      <c r="G791" s="29"/>
      <c r="H791" s="29"/>
      <c r="I791" s="29"/>
    </row>
    <row r="792" ht="14.25" customHeight="1">
      <c r="C792" s="29"/>
      <c r="D792" s="29"/>
      <c r="E792" s="29"/>
      <c r="F792" s="29"/>
      <c r="G792" s="29"/>
      <c r="H792" s="29"/>
      <c r="I792" s="29"/>
    </row>
    <row r="793" ht="14.25" customHeight="1">
      <c r="C793" s="29"/>
      <c r="D793" s="29"/>
      <c r="E793" s="29"/>
      <c r="F793" s="29"/>
      <c r="G793" s="29"/>
      <c r="H793" s="29"/>
      <c r="I793" s="29"/>
    </row>
    <row r="794" ht="14.25" customHeight="1">
      <c r="C794" s="29"/>
      <c r="D794" s="29"/>
      <c r="E794" s="29"/>
      <c r="F794" s="29"/>
      <c r="G794" s="29"/>
      <c r="H794" s="29"/>
      <c r="I794" s="29"/>
    </row>
    <row r="795" ht="14.25" customHeight="1">
      <c r="C795" s="29"/>
      <c r="D795" s="29"/>
      <c r="E795" s="29"/>
      <c r="F795" s="29"/>
      <c r="G795" s="29"/>
      <c r="H795" s="29"/>
      <c r="I795" s="29"/>
    </row>
    <row r="796" ht="14.25" customHeight="1">
      <c r="C796" s="29"/>
      <c r="D796" s="29"/>
      <c r="E796" s="29"/>
      <c r="F796" s="29"/>
      <c r="G796" s="29"/>
      <c r="H796" s="29"/>
      <c r="I796" s="29"/>
    </row>
    <row r="797" ht="14.25" customHeight="1">
      <c r="C797" s="29"/>
      <c r="D797" s="29"/>
      <c r="E797" s="29"/>
      <c r="F797" s="29"/>
      <c r="G797" s="29"/>
      <c r="H797" s="29"/>
      <c r="I797" s="29"/>
    </row>
    <row r="798" ht="14.25" customHeight="1">
      <c r="C798" s="29"/>
      <c r="D798" s="29"/>
      <c r="E798" s="29"/>
      <c r="F798" s="29"/>
      <c r="G798" s="29"/>
      <c r="H798" s="29"/>
      <c r="I798" s="29"/>
    </row>
    <row r="799" ht="14.25" customHeight="1">
      <c r="C799" s="29"/>
      <c r="D799" s="29"/>
      <c r="E799" s="29"/>
      <c r="F799" s="29"/>
      <c r="G799" s="29"/>
      <c r="H799" s="29"/>
      <c r="I799" s="29"/>
    </row>
    <row r="800" ht="14.25" customHeight="1">
      <c r="C800" s="29"/>
      <c r="D800" s="29"/>
      <c r="E800" s="29"/>
      <c r="F800" s="29"/>
      <c r="G800" s="29"/>
      <c r="H800" s="29"/>
      <c r="I800" s="29"/>
    </row>
    <row r="801" ht="14.25" customHeight="1">
      <c r="C801" s="29"/>
      <c r="D801" s="29"/>
      <c r="E801" s="29"/>
      <c r="F801" s="29"/>
      <c r="G801" s="29"/>
      <c r="H801" s="29"/>
      <c r="I801" s="29"/>
    </row>
    <row r="802" ht="14.25" customHeight="1">
      <c r="C802" s="29"/>
      <c r="D802" s="29"/>
      <c r="E802" s="29"/>
      <c r="F802" s="29"/>
      <c r="G802" s="29"/>
      <c r="H802" s="29"/>
      <c r="I802" s="29"/>
    </row>
    <row r="803" ht="14.25" customHeight="1">
      <c r="C803" s="29"/>
      <c r="D803" s="29"/>
      <c r="E803" s="29"/>
      <c r="F803" s="29"/>
      <c r="G803" s="29"/>
      <c r="H803" s="29"/>
      <c r="I803" s="29"/>
    </row>
    <row r="804" ht="14.25" customHeight="1">
      <c r="C804" s="29"/>
      <c r="D804" s="29"/>
      <c r="E804" s="29"/>
      <c r="F804" s="29"/>
      <c r="G804" s="29"/>
      <c r="H804" s="29"/>
      <c r="I804" s="29"/>
    </row>
    <row r="805" ht="14.25" customHeight="1">
      <c r="C805" s="29"/>
      <c r="D805" s="29"/>
      <c r="E805" s="29"/>
      <c r="F805" s="29"/>
      <c r="G805" s="29"/>
      <c r="H805" s="29"/>
      <c r="I805" s="29"/>
    </row>
    <row r="806" ht="14.25" customHeight="1">
      <c r="C806" s="29"/>
      <c r="D806" s="29"/>
      <c r="E806" s="29"/>
      <c r="F806" s="29"/>
      <c r="G806" s="29"/>
      <c r="H806" s="29"/>
      <c r="I806" s="29"/>
    </row>
    <row r="807" ht="14.25" customHeight="1">
      <c r="C807" s="29"/>
      <c r="D807" s="29"/>
      <c r="E807" s="29"/>
      <c r="F807" s="29"/>
      <c r="G807" s="29"/>
      <c r="H807" s="29"/>
      <c r="I807" s="29"/>
    </row>
    <row r="808" ht="14.25" customHeight="1">
      <c r="C808" s="29"/>
      <c r="D808" s="29"/>
      <c r="E808" s="29"/>
      <c r="F808" s="29"/>
      <c r="G808" s="29"/>
      <c r="H808" s="29"/>
      <c r="I808" s="29"/>
    </row>
    <row r="809" ht="14.25" customHeight="1">
      <c r="C809" s="29"/>
      <c r="D809" s="29"/>
      <c r="E809" s="29"/>
      <c r="F809" s="29"/>
      <c r="G809" s="29"/>
      <c r="H809" s="29"/>
      <c r="I809" s="29"/>
    </row>
    <row r="810" ht="14.25" customHeight="1">
      <c r="C810" s="29"/>
      <c r="D810" s="29"/>
      <c r="E810" s="29"/>
      <c r="F810" s="29"/>
      <c r="G810" s="29"/>
      <c r="H810" s="29"/>
      <c r="I810" s="29"/>
    </row>
    <row r="811" ht="14.25" customHeight="1">
      <c r="C811" s="29"/>
      <c r="D811" s="29"/>
      <c r="E811" s="29"/>
      <c r="F811" s="29"/>
      <c r="G811" s="29"/>
      <c r="H811" s="29"/>
      <c r="I811" s="29"/>
    </row>
    <row r="812" ht="14.25" customHeight="1">
      <c r="C812" s="29"/>
      <c r="D812" s="29"/>
      <c r="E812" s="29"/>
      <c r="F812" s="29"/>
      <c r="G812" s="29"/>
      <c r="H812" s="29"/>
      <c r="I812" s="29"/>
    </row>
    <row r="813" ht="14.25" customHeight="1">
      <c r="C813" s="29"/>
      <c r="D813" s="29"/>
      <c r="E813" s="29"/>
      <c r="F813" s="29"/>
      <c r="G813" s="29"/>
      <c r="H813" s="29"/>
      <c r="I813" s="29"/>
    </row>
    <row r="814" ht="14.25" customHeight="1">
      <c r="C814" s="29"/>
      <c r="D814" s="29"/>
      <c r="E814" s="29"/>
      <c r="F814" s="29"/>
      <c r="G814" s="29"/>
      <c r="H814" s="29"/>
      <c r="I814" s="29"/>
    </row>
    <row r="815" ht="14.25" customHeight="1">
      <c r="C815" s="29"/>
      <c r="D815" s="29"/>
      <c r="E815" s="29"/>
      <c r="F815" s="29"/>
      <c r="G815" s="29"/>
      <c r="H815" s="29"/>
      <c r="I815" s="29"/>
    </row>
    <row r="816" ht="14.25" customHeight="1">
      <c r="C816" s="29"/>
      <c r="D816" s="29"/>
      <c r="E816" s="29"/>
      <c r="F816" s="29"/>
      <c r="G816" s="29"/>
      <c r="H816" s="29"/>
      <c r="I816" s="29"/>
    </row>
    <row r="817" ht="14.25" customHeight="1">
      <c r="C817" s="29"/>
      <c r="D817" s="29"/>
      <c r="E817" s="29"/>
      <c r="F817" s="29"/>
      <c r="G817" s="29"/>
      <c r="H817" s="29"/>
      <c r="I817" s="29"/>
    </row>
    <row r="818" ht="14.25" customHeight="1">
      <c r="C818" s="29"/>
      <c r="D818" s="29"/>
      <c r="E818" s="29"/>
      <c r="F818" s="29"/>
      <c r="G818" s="29"/>
      <c r="H818" s="29"/>
      <c r="I818" s="29"/>
    </row>
    <row r="819" ht="14.25" customHeight="1">
      <c r="C819" s="29"/>
      <c r="D819" s="29"/>
      <c r="E819" s="29"/>
      <c r="F819" s="29"/>
      <c r="G819" s="29"/>
      <c r="H819" s="29"/>
      <c r="I819" s="29"/>
    </row>
    <row r="820" ht="14.25" customHeight="1">
      <c r="C820" s="29"/>
      <c r="D820" s="29"/>
      <c r="E820" s="29"/>
      <c r="F820" s="29"/>
      <c r="G820" s="29"/>
      <c r="H820" s="29"/>
      <c r="I820" s="29"/>
    </row>
    <row r="821" ht="14.25" customHeight="1">
      <c r="C821" s="29"/>
      <c r="D821" s="29"/>
      <c r="E821" s="29"/>
      <c r="F821" s="29"/>
      <c r="G821" s="29"/>
      <c r="H821" s="29"/>
      <c r="I821" s="29"/>
    </row>
    <row r="822" ht="14.25" customHeight="1">
      <c r="C822" s="29"/>
      <c r="D822" s="29"/>
      <c r="E822" s="29"/>
      <c r="F822" s="29"/>
      <c r="G822" s="29"/>
      <c r="H822" s="29"/>
      <c r="I822" s="29"/>
    </row>
    <row r="823" ht="14.25" customHeight="1">
      <c r="C823" s="29"/>
      <c r="D823" s="29"/>
      <c r="E823" s="29"/>
      <c r="F823" s="29"/>
      <c r="G823" s="29"/>
      <c r="H823" s="29"/>
      <c r="I823" s="29"/>
    </row>
    <row r="824" ht="14.25" customHeight="1">
      <c r="C824" s="29"/>
      <c r="D824" s="29"/>
      <c r="E824" s="29"/>
      <c r="F824" s="29"/>
      <c r="G824" s="29"/>
      <c r="H824" s="29"/>
      <c r="I824" s="29"/>
    </row>
    <row r="825" ht="14.25" customHeight="1">
      <c r="C825" s="29"/>
      <c r="D825" s="29"/>
      <c r="E825" s="29"/>
      <c r="F825" s="29"/>
      <c r="G825" s="29"/>
      <c r="H825" s="29"/>
      <c r="I825" s="29"/>
    </row>
    <row r="826" ht="14.25" customHeight="1">
      <c r="C826" s="29"/>
      <c r="D826" s="29"/>
      <c r="E826" s="29"/>
      <c r="F826" s="29"/>
      <c r="G826" s="29"/>
      <c r="H826" s="29"/>
      <c r="I826" s="29"/>
    </row>
    <row r="827" ht="14.25" customHeight="1">
      <c r="C827" s="29"/>
      <c r="D827" s="29"/>
      <c r="E827" s="29"/>
      <c r="F827" s="29"/>
      <c r="G827" s="29"/>
      <c r="H827" s="29"/>
      <c r="I827" s="29"/>
    </row>
    <row r="828" ht="14.25" customHeight="1">
      <c r="C828" s="29"/>
      <c r="D828" s="29"/>
      <c r="E828" s="29"/>
      <c r="F828" s="29"/>
      <c r="G828" s="29"/>
      <c r="H828" s="29"/>
      <c r="I828" s="29"/>
    </row>
    <row r="829" ht="14.25" customHeight="1">
      <c r="C829" s="29"/>
      <c r="D829" s="29"/>
      <c r="E829" s="29"/>
      <c r="F829" s="29"/>
      <c r="G829" s="29"/>
      <c r="H829" s="29"/>
      <c r="I829" s="29"/>
    </row>
    <row r="830" ht="14.25" customHeight="1">
      <c r="C830" s="29"/>
      <c r="D830" s="29"/>
      <c r="E830" s="29"/>
      <c r="F830" s="29"/>
      <c r="G830" s="29"/>
      <c r="H830" s="29"/>
      <c r="I830" s="29"/>
    </row>
    <row r="831" ht="14.25" customHeight="1">
      <c r="C831" s="29"/>
      <c r="D831" s="29"/>
      <c r="E831" s="29"/>
      <c r="F831" s="29"/>
      <c r="G831" s="29"/>
      <c r="H831" s="29"/>
      <c r="I831" s="29"/>
    </row>
    <row r="832" ht="14.25" customHeight="1">
      <c r="C832" s="29"/>
      <c r="D832" s="29"/>
      <c r="E832" s="29"/>
      <c r="F832" s="29"/>
      <c r="G832" s="29"/>
      <c r="H832" s="29"/>
      <c r="I832" s="29"/>
    </row>
    <row r="833" ht="14.25" customHeight="1">
      <c r="C833" s="29"/>
      <c r="D833" s="29"/>
      <c r="E833" s="29"/>
      <c r="F833" s="29"/>
      <c r="G833" s="29"/>
      <c r="H833" s="29"/>
      <c r="I833" s="29"/>
    </row>
    <row r="834" ht="14.25" customHeight="1">
      <c r="C834" s="29"/>
      <c r="D834" s="29"/>
      <c r="E834" s="29"/>
      <c r="F834" s="29"/>
      <c r="G834" s="29"/>
      <c r="H834" s="29"/>
      <c r="I834" s="29"/>
    </row>
    <row r="835" ht="14.25" customHeight="1">
      <c r="C835" s="29"/>
      <c r="D835" s="29"/>
      <c r="E835" s="29"/>
      <c r="F835" s="29"/>
      <c r="G835" s="29"/>
      <c r="H835" s="29"/>
      <c r="I835" s="29"/>
    </row>
    <row r="836" ht="14.25" customHeight="1">
      <c r="C836" s="29"/>
      <c r="D836" s="29"/>
      <c r="E836" s="29"/>
      <c r="F836" s="29"/>
      <c r="G836" s="29"/>
      <c r="H836" s="29"/>
      <c r="I836" s="29"/>
    </row>
    <row r="837" ht="14.25" customHeight="1">
      <c r="C837" s="29"/>
      <c r="D837" s="29"/>
      <c r="E837" s="29"/>
      <c r="F837" s="29"/>
      <c r="G837" s="29"/>
      <c r="H837" s="29"/>
      <c r="I837" s="29"/>
    </row>
    <row r="838" ht="14.25" customHeight="1">
      <c r="C838" s="29"/>
      <c r="D838" s="29"/>
      <c r="E838" s="29"/>
      <c r="F838" s="29"/>
      <c r="G838" s="29"/>
      <c r="H838" s="29"/>
      <c r="I838" s="29"/>
    </row>
    <row r="839" ht="14.25" customHeight="1">
      <c r="C839" s="29"/>
      <c r="D839" s="29"/>
      <c r="E839" s="29"/>
      <c r="F839" s="29"/>
      <c r="G839" s="29"/>
      <c r="H839" s="29"/>
      <c r="I839" s="29"/>
    </row>
    <row r="840" ht="14.25" customHeight="1">
      <c r="C840" s="29"/>
      <c r="D840" s="29"/>
      <c r="E840" s="29"/>
      <c r="F840" s="29"/>
      <c r="G840" s="29"/>
      <c r="H840" s="29"/>
      <c r="I840" s="29"/>
    </row>
    <row r="841" ht="14.25" customHeight="1">
      <c r="C841" s="29"/>
      <c r="D841" s="29"/>
      <c r="E841" s="29"/>
      <c r="F841" s="29"/>
      <c r="G841" s="29"/>
      <c r="H841" s="29"/>
      <c r="I841" s="29"/>
    </row>
    <row r="842" ht="14.25" customHeight="1">
      <c r="C842" s="29"/>
      <c r="D842" s="29"/>
      <c r="E842" s="29"/>
      <c r="F842" s="29"/>
      <c r="G842" s="29"/>
      <c r="H842" s="29"/>
      <c r="I842" s="29"/>
    </row>
    <row r="843" ht="14.25" customHeight="1">
      <c r="C843" s="29"/>
      <c r="D843" s="29"/>
      <c r="E843" s="29"/>
      <c r="F843" s="29"/>
      <c r="G843" s="29"/>
      <c r="H843" s="29"/>
      <c r="I843" s="29"/>
    </row>
    <row r="844" ht="14.25" customHeight="1">
      <c r="C844" s="29"/>
      <c r="D844" s="29"/>
      <c r="E844" s="29"/>
      <c r="F844" s="29"/>
      <c r="G844" s="29"/>
      <c r="H844" s="29"/>
      <c r="I844" s="29"/>
    </row>
    <row r="845" ht="14.25" customHeight="1">
      <c r="C845" s="29"/>
      <c r="D845" s="29"/>
      <c r="E845" s="29"/>
      <c r="F845" s="29"/>
      <c r="G845" s="29"/>
      <c r="H845" s="29"/>
      <c r="I845" s="29"/>
    </row>
    <row r="846" ht="14.25" customHeight="1">
      <c r="C846" s="29"/>
      <c r="D846" s="29"/>
      <c r="E846" s="29"/>
      <c r="F846" s="29"/>
      <c r="G846" s="29"/>
      <c r="H846" s="29"/>
      <c r="I846" s="29"/>
    </row>
    <row r="847" ht="14.25" customHeight="1">
      <c r="C847" s="29"/>
      <c r="D847" s="29"/>
      <c r="E847" s="29"/>
      <c r="F847" s="29"/>
      <c r="G847" s="29"/>
      <c r="H847" s="29"/>
      <c r="I847" s="29"/>
    </row>
    <row r="848" ht="14.25" customHeight="1">
      <c r="C848" s="29"/>
      <c r="D848" s="29"/>
      <c r="E848" s="29"/>
      <c r="F848" s="29"/>
      <c r="G848" s="29"/>
      <c r="H848" s="29"/>
      <c r="I848" s="29"/>
    </row>
    <row r="849" ht="14.25" customHeight="1">
      <c r="C849" s="29"/>
      <c r="D849" s="29"/>
      <c r="E849" s="29"/>
      <c r="F849" s="29"/>
      <c r="G849" s="29"/>
      <c r="H849" s="29"/>
      <c r="I849" s="29"/>
    </row>
    <row r="850" ht="14.25" customHeight="1">
      <c r="C850" s="29"/>
      <c r="D850" s="29"/>
      <c r="E850" s="29"/>
      <c r="F850" s="29"/>
      <c r="G850" s="29"/>
      <c r="H850" s="29"/>
      <c r="I850" s="29"/>
    </row>
    <row r="851" ht="14.25" customHeight="1">
      <c r="C851" s="29"/>
      <c r="D851" s="29"/>
      <c r="E851" s="29"/>
      <c r="F851" s="29"/>
      <c r="G851" s="29"/>
      <c r="H851" s="29"/>
      <c r="I851" s="29"/>
    </row>
    <row r="852" ht="14.25" customHeight="1">
      <c r="C852" s="29"/>
      <c r="D852" s="29"/>
      <c r="E852" s="29"/>
      <c r="F852" s="29"/>
      <c r="G852" s="29"/>
      <c r="H852" s="29"/>
      <c r="I852" s="29"/>
    </row>
    <row r="853" ht="14.25" customHeight="1">
      <c r="C853" s="29"/>
      <c r="D853" s="29"/>
      <c r="E853" s="29"/>
      <c r="F853" s="29"/>
      <c r="G853" s="29"/>
      <c r="H853" s="29"/>
      <c r="I853" s="29"/>
    </row>
    <row r="854" ht="14.25" customHeight="1">
      <c r="C854" s="29"/>
      <c r="D854" s="29"/>
      <c r="E854" s="29"/>
      <c r="F854" s="29"/>
      <c r="G854" s="29"/>
      <c r="H854" s="29"/>
      <c r="I854" s="29"/>
    </row>
    <row r="855" ht="14.25" customHeight="1">
      <c r="C855" s="29"/>
      <c r="D855" s="29"/>
      <c r="E855" s="29"/>
      <c r="F855" s="29"/>
      <c r="G855" s="29"/>
      <c r="H855" s="29"/>
      <c r="I855" s="29"/>
    </row>
    <row r="856" ht="14.25" customHeight="1">
      <c r="C856" s="29"/>
      <c r="D856" s="29"/>
      <c r="E856" s="29"/>
      <c r="F856" s="29"/>
      <c r="G856" s="29"/>
      <c r="H856" s="29"/>
      <c r="I856" s="29"/>
    </row>
    <row r="857" ht="14.25" customHeight="1">
      <c r="C857" s="29"/>
      <c r="D857" s="29"/>
      <c r="E857" s="29"/>
      <c r="F857" s="29"/>
      <c r="G857" s="29"/>
      <c r="H857" s="29"/>
      <c r="I857" s="29"/>
    </row>
    <row r="858" ht="14.25" customHeight="1">
      <c r="C858" s="29"/>
      <c r="D858" s="29"/>
      <c r="E858" s="29"/>
      <c r="F858" s="29"/>
      <c r="G858" s="29"/>
      <c r="H858" s="29"/>
      <c r="I858" s="29"/>
    </row>
    <row r="859" ht="14.25" customHeight="1">
      <c r="C859" s="29"/>
      <c r="D859" s="29"/>
      <c r="E859" s="29"/>
      <c r="F859" s="29"/>
      <c r="G859" s="29"/>
      <c r="H859" s="29"/>
      <c r="I859" s="29"/>
    </row>
    <row r="860" ht="14.25" customHeight="1">
      <c r="C860" s="29"/>
      <c r="D860" s="29"/>
      <c r="E860" s="29"/>
      <c r="F860" s="29"/>
      <c r="G860" s="29"/>
      <c r="H860" s="29"/>
      <c r="I860" s="29"/>
    </row>
    <row r="861" ht="14.25" customHeight="1">
      <c r="C861" s="29"/>
      <c r="D861" s="29"/>
      <c r="E861" s="29"/>
      <c r="F861" s="29"/>
      <c r="G861" s="29"/>
      <c r="H861" s="29"/>
      <c r="I861" s="29"/>
    </row>
    <row r="862" ht="14.25" customHeight="1">
      <c r="C862" s="29"/>
      <c r="D862" s="29"/>
      <c r="E862" s="29"/>
      <c r="F862" s="29"/>
      <c r="G862" s="29"/>
      <c r="H862" s="29"/>
      <c r="I862" s="29"/>
    </row>
    <row r="863" ht="14.25" customHeight="1">
      <c r="C863" s="29"/>
      <c r="D863" s="29"/>
      <c r="E863" s="29"/>
      <c r="F863" s="29"/>
      <c r="G863" s="29"/>
      <c r="H863" s="29"/>
      <c r="I863" s="29"/>
    </row>
    <row r="864" ht="14.25" customHeight="1">
      <c r="C864" s="29"/>
      <c r="D864" s="29"/>
      <c r="E864" s="29"/>
      <c r="F864" s="29"/>
      <c r="G864" s="29"/>
      <c r="H864" s="29"/>
      <c r="I864" s="29"/>
    </row>
    <row r="865" ht="14.25" customHeight="1">
      <c r="C865" s="29"/>
      <c r="D865" s="29"/>
      <c r="E865" s="29"/>
      <c r="F865" s="29"/>
      <c r="G865" s="29"/>
      <c r="H865" s="29"/>
      <c r="I865" s="29"/>
    </row>
    <row r="866" ht="14.25" customHeight="1">
      <c r="C866" s="29"/>
      <c r="D866" s="29"/>
      <c r="E866" s="29"/>
      <c r="F866" s="29"/>
      <c r="G866" s="29"/>
      <c r="H866" s="29"/>
      <c r="I866" s="29"/>
    </row>
    <row r="867" ht="14.25" customHeight="1">
      <c r="C867" s="29"/>
      <c r="D867" s="29"/>
      <c r="E867" s="29"/>
      <c r="F867" s="29"/>
      <c r="G867" s="29"/>
      <c r="H867" s="29"/>
      <c r="I867" s="29"/>
    </row>
    <row r="868" ht="14.25" customHeight="1">
      <c r="C868" s="29"/>
      <c r="D868" s="29"/>
      <c r="E868" s="29"/>
      <c r="F868" s="29"/>
      <c r="G868" s="29"/>
      <c r="H868" s="29"/>
      <c r="I868" s="29"/>
    </row>
    <row r="869" ht="14.25" customHeight="1">
      <c r="C869" s="29"/>
      <c r="D869" s="29"/>
      <c r="E869" s="29"/>
      <c r="F869" s="29"/>
      <c r="G869" s="29"/>
      <c r="H869" s="29"/>
      <c r="I869" s="29"/>
    </row>
    <row r="870" ht="14.25" customHeight="1">
      <c r="C870" s="29"/>
      <c r="D870" s="29"/>
      <c r="E870" s="29"/>
      <c r="F870" s="29"/>
      <c r="G870" s="29"/>
      <c r="H870" s="29"/>
      <c r="I870" s="29"/>
    </row>
    <row r="871" ht="14.25" customHeight="1">
      <c r="C871" s="29"/>
      <c r="D871" s="29"/>
      <c r="E871" s="29"/>
      <c r="F871" s="29"/>
      <c r="G871" s="29"/>
      <c r="H871" s="29"/>
      <c r="I871" s="29"/>
    </row>
    <row r="872" ht="14.25" customHeight="1">
      <c r="C872" s="29"/>
      <c r="D872" s="29"/>
      <c r="E872" s="29"/>
      <c r="F872" s="29"/>
      <c r="G872" s="29"/>
      <c r="H872" s="29"/>
      <c r="I872" s="29"/>
    </row>
    <row r="873" ht="14.25" customHeight="1">
      <c r="C873" s="29"/>
      <c r="D873" s="29"/>
      <c r="E873" s="29"/>
      <c r="F873" s="29"/>
      <c r="G873" s="29"/>
      <c r="H873" s="29"/>
      <c r="I873" s="29"/>
    </row>
    <row r="874" ht="14.25" customHeight="1">
      <c r="C874" s="29"/>
      <c r="D874" s="29"/>
      <c r="E874" s="29"/>
      <c r="F874" s="29"/>
      <c r="G874" s="29"/>
      <c r="H874" s="29"/>
      <c r="I874" s="29"/>
    </row>
    <row r="875" ht="14.25" customHeight="1">
      <c r="C875" s="29"/>
      <c r="D875" s="29"/>
      <c r="E875" s="29"/>
      <c r="F875" s="29"/>
      <c r="G875" s="29"/>
      <c r="H875" s="29"/>
      <c r="I875" s="29"/>
    </row>
    <row r="876" ht="14.25" customHeight="1">
      <c r="C876" s="29"/>
      <c r="D876" s="29"/>
      <c r="E876" s="29"/>
      <c r="F876" s="29"/>
      <c r="G876" s="29"/>
      <c r="H876" s="29"/>
      <c r="I876" s="29"/>
    </row>
    <row r="877" ht="14.25" customHeight="1">
      <c r="C877" s="29"/>
      <c r="D877" s="29"/>
      <c r="E877" s="29"/>
      <c r="F877" s="29"/>
      <c r="G877" s="29"/>
      <c r="H877" s="29"/>
      <c r="I877" s="29"/>
    </row>
    <row r="878" ht="14.25" customHeight="1">
      <c r="C878" s="29"/>
      <c r="D878" s="29"/>
      <c r="E878" s="29"/>
      <c r="F878" s="29"/>
      <c r="G878" s="29"/>
      <c r="H878" s="29"/>
      <c r="I878" s="29"/>
    </row>
    <row r="879" ht="14.25" customHeight="1">
      <c r="C879" s="29"/>
      <c r="D879" s="29"/>
      <c r="E879" s="29"/>
      <c r="F879" s="29"/>
      <c r="G879" s="29"/>
      <c r="H879" s="29"/>
      <c r="I879" s="29"/>
    </row>
    <row r="880" ht="14.25" customHeight="1">
      <c r="C880" s="29"/>
      <c r="D880" s="29"/>
      <c r="E880" s="29"/>
      <c r="F880" s="29"/>
      <c r="G880" s="29"/>
      <c r="H880" s="29"/>
      <c r="I880" s="29"/>
    </row>
    <row r="881" ht="14.25" customHeight="1">
      <c r="C881" s="29"/>
      <c r="D881" s="29"/>
      <c r="E881" s="29"/>
      <c r="F881" s="29"/>
      <c r="G881" s="29"/>
      <c r="H881" s="29"/>
      <c r="I881" s="29"/>
    </row>
    <row r="882" ht="14.25" customHeight="1">
      <c r="C882" s="29"/>
      <c r="D882" s="29"/>
      <c r="E882" s="29"/>
      <c r="F882" s="29"/>
      <c r="G882" s="29"/>
      <c r="H882" s="29"/>
      <c r="I882" s="29"/>
    </row>
    <row r="883" ht="14.25" customHeight="1">
      <c r="C883" s="29"/>
      <c r="D883" s="29"/>
      <c r="E883" s="29"/>
      <c r="F883" s="29"/>
      <c r="G883" s="29"/>
      <c r="H883" s="29"/>
      <c r="I883" s="29"/>
    </row>
    <row r="884" ht="14.25" customHeight="1">
      <c r="C884" s="29"/>
      <c r="D884" s="29"/>
      <c r="E884" s="29"/>
      <c r="F884" s="29"/>
      <c r="G884" s="29"/>
      <c r="H884" s="29"/>
      <c r="I884" s="29"/>
    </row>
    <row r="885" ht="14.25" customHeight="1">
      <c r="C885" s="29"/>
      <c r="D885" s="29"/>
      <c r="E885" s="29"/>
      <c r="F885" s="29"/>
      <c r="G885" s="29"/>
      <c r="H885" s="29"/>
      <c r="I885" s="29"/>
    </row>
    <row r="886" ht="14.25" customHeight="1">
      <c r="C886" s="29"/>
      <c r="D886" s="29"/>
      <c r="E886" s="29"/>
      <c r="F886" s="29"/>
      <c r="G886" s="29"/>
      <c r="H886" s="29"/>
      <c r="I886" s="29"/>
    </row>
    <row r="887" ht="14.25" customHeight="1">
      <c r="C887" s="29"/>
      <c r="D887" s="29"/>
      <c r="E887" s="29"/>
      <c r="F887" s="29"/>
      <c r="G887" s="29"/>
      <c r="H887" s="29"/>
      <c r="I887" s="29"/>
    </row>
    <row r="888" ht="14.25" customHeight="1">
      <c r="C888" s="29"/>
      <c r="D888" s="29"/>
      <c r="E888" s="29"/>
      <c r="F888" s="29"/>
      <c r="G888" s="29"/>
      <c r="H888" s="29"/>
      <c r="I888" s="29"/>
    </row>
    <row r="889" ht="14.25" customHeight="1">
      <c r="C889" s="29"/>
      <c r="D889" s="29"/>
      <c r="E889" s="29"/>
      <c r="F889" s="29"/>
      <c r="G889" s="29"/>
      <c r="H889" s="29"/>
      <c r="I889" s="29"/>
    </row>
    <row r="890" ht="14.25" customHeight="1">
      <c r="C890" s="29"/>
      <c r="D890" s="29"/>
      <c r="E890" s="29"/>
      <c r="F890" s="29"/>
      <c r="G890" s="29"/>
      <c r="H890" s="29"/>
      <c r="I890" s="29"/>
    </row>
    <row r="891" ht="14.25" customHeight="1">
      <c r="C891" s="29"/>
      <c r="D891" s="29"/>
      <c r="E891" s="29"/>
      <c r="F891" s="29"/>
      <c r="G891" s="29"/>
      <c r="H891" s="29"/>
      <c r="I891" s="29"/>
    </row>
    <row r="892" ht="14.25" customHeight="1">
      <c r="C892" s="29"/>
      <c r="D892" s="29"/>
      <c r="E892" s="29"/>
      <c r="F892" s="29"/>
      <c r="G892" s="29"/>
      <c r="H892" s="29"/>
      <c r="I892" s="29"/>
    </row>
    <row r="893" ht="14.25" customHeight="1">
      <c r="C893" s="29"/>
      <c r="D893" s="29"/>
      <c r="E893" s="29"/>
      <c r="F893" s="29"/>
      <c r="G893" s="29"/>
      <c r="H893" s="29"/>
      <c r="I893" s="29"/>
    </row>
    <row r="894" ht="14.25" customHeight="1">
      <c r="C894" s="29"/>
      <c r="D894" s="29"/>
      <c r="E894" s="29"/>
      <c r="F894" s="29"/>
      <c r="G894" s="29"/>
      <c r="H894" s="29"/>
      <c r="I894" s="29"/>
    </row>
    <row r="895" ht="14.25" customHeight="1">
      <c r="C895" s="29"/>
      <c r="D895" s="29"/>
      <c r="E895" s="29"/>
      <c r="F895" s="29"/>
      <c r="G895" s="29"/>
      <c r="H895" s="29"/>
      <c r="I895" s="29"/>
    </row>
    <row r="896" ht="14.25" customHeight="1">
      <c r="C896" s="29"/>
      <c r="D896" s="29"/>
      <c r="E896" s="29"/>
      <c r="F896" s="29"/>
      <c r="G896" s="29"/>
      <c r="H896" s="29"/>
      <c r="I896" s="29"/>
    </row>
    <row r="897" ht="14.25" customHeight="1">
      <c r="C897" s="29"/>
      <c r="D897" s="29"/>
      <c r="E897" s="29"/>
      <c r="F897" s="29"/>
      <c r="G897" s="29"/>
      <c r="H897" s="29"/>
      <c r="I897" s="29"/>
    </row>
    <row r="898" ht="14.25" customHeight="1">
      <c r="C898" s="29"/>
      <c r="D898" s="29"/>
      <c r="E898" s="29"/>
      <c r="F898" s="29"/>
      <c r="G898" s="29"/>
      <c r="H898" s="29"/>
      <c r="I898" s="29"/>
    </row>
    <row r="899" ht="14.25" customHeight="1">
      <c r="C899" s="29"/>
      <c r="D899" s="29"/>
      <c r="E899" s="29"/>
      <c r="F899" s="29"/>
      <c r="G899" s="29"/>
      <c r="H899" s="29"/>
      <c r="I899" s="29"/>
    </row>
    <row r="900" ht="14.25" customHeight="1">
      <c r="C900" s="29"/>
      <c r="D900" s="29"/>
      <c r="E900" s="29"/>
      <c r="F900" s="29"/>
      <c r="G900" s="29"/>
      <c r="H900" s="29"/>
      <c r="I900" s="29"/>
    </row>
    <row r="901" ht="14.25" customHeight="1">
      <c r="C901" s="29"/>
      <c r="D901" s="29"/>
      <c r="E901" s="29"/>
      <c r="F901" s="29"/>
      <c r="G901" s="29"/>
      <c r="H901" s="29"/>
      <c r="I901" s="29"/>
    </row>
    <row r="902" ht="14.25" customHeight="1">
      <c r="C902" s="29"/>
      <c r="D902" s="29"/>
      <c r="E902" s="29"/>
      <c r="F902" s="29"/>
      <c r="G902" s="29"/>
      <c r="H902" s="29"/>
      <c r="I902" s="29"/>
    </row>
    <row r="903" ht="14.25" customHeight="1">
      <c r="C903" s="29"/>
      <c r="D903" s="29"/>
      <c r="E903" s="29"/>
      <c r="F903" s="29"/>
      <c r="G903" s="29"/>
      <c r="H903" s="29"/>
      <c r="I903" s="29"/>
    </row>
    <row r="904" ht="14.25" customHeight="1">
      <c r="C904" s="29"/>
      <c r="D904" s="29"/>
      <c r="E904" s="29"/>
      <c r="F904" s="29"/>
      <c r="G904" s="29"/>
      <c r="H904" s="29"/>
      <c r="I904" s="29"/>
    </row>
    <row r="905" ht="14.25" customHeight="1">
      <c r="C905" s="29"/>
      <c r="D905" s="29"/>
      <c r="E905" s="29"/>
      <c r="F905" s="29"/>
      <c r="G905" s="29"/>
      <c r="H905" s="29"/>
      <c r="I905" s="29"/>
    </row>
    <row r="906" ht="14.25" customHeight="1">
      <c r="C906" s="29"/>
      <c r="D906" s="29"/>
      <c r="E906" s="29"/>
      <c r="F906" s="29"/>
      <c r="G906" s="29"/>
      <c r="H906" s="29"/>
      <c r="I906" s="29"/>
    </row>
    <row r="907" ht="14.25" customHeight="1">
      <c r="C907" s="29"/>
      <c r="D907" s="29"/>
      <c r="E907" s="29"/>
      <c r="F907" s="29"/>
      <c r="G907" s="29"/>
      <c r="H907" s="29"/>
      <c r="I907" s="29"/>
    </row>
    <row r="908" ht="14.25" customHeight="1">
      <c r="C908" s="29"/>
      <c r="D908" s="29"/>
      <c r="E908" s="29"/>
      <c r="F908" s="29"/>
      <c r="G908" s="29"/>
      <c r="H908" s="29"/>
      <c r="I908" s="29"/>
    </row>
    <row r="909" ht="14.25" customHeight="1">
      <c r="C909" s="29"/>
      <c r="D909" s="29"/>
      <c r="E909" s="29"/>
      <c r="F909" s="29"/>
      <c r="G909" s="29"/>
      <c r="H909" s="29"/>
      <c r="I909" s="29"/>
    </row>
    <row r="910" ht="14.25" customHeight="1">
      <c r="C910" s="29"/>
      <c r="D910" s="29"/>
      <c r="E910" s="29"/>
      <c r="F910" s="29"/>
      <c r="G910" s="29"/>
      <c r="H910" s="29"/>
      <c r="I910" s="29"/>
    </row>
    <row r="911" ht="14.25" customHeight="1">
      <c r="C911" s="29"/>
      <c r="D911" s="29"/>
      <c r="E911" s="29"/>
      <c r="F911" s="29"/>
      <c r="G911" s="29"/>
      <c r="H911" s="29"/>
      <c r="I911" s="29"/>
    </row>
    <row r="912" ht="14.25" customHeight="1">
      <c r="C912" s="29"/>
      <c r="D912" s="29"/>
      <c r="E912" s="29"/>
      <c r="F912" s="29"/>
      <c r="G912" s="29"/>
      <c r="H912" s="29"/>
      <c r="I912" s="29"/>
    </row>
    <row r="913" ht="14.25" customHeight="1">
      <c r="C913" s="29"/>
      <c r="D913" s="29"/>
      <c r="E913" s="29"/>
      <c r="F913" s="29"/>
      <c r="G913" s="29"/>
      <c r="H913" s="29"/>
      <c r="I913" s="29"/>
    </row>
    <row r="914" ht="14.25" customHeight="1">
      <c r="C914" s="29"/>
      <c r="D914" s="29"/>
      <c r="E914" s="29"/>
      <c r="F914" s="29"/>
      <c r="G914" s="29"/>
      <c r="H914" s="29"/>
      <c r="I914" s="29"/>
    </row>
    <row r="915" ht="14.25" customHeight="1">
      <c r="C915" s="29"/>
      <c r="D915" s="29"/>
      <c r="E915" s="29"/>
      <c r="F915" s="29"/>
      <c r="G915" s="29"/>
      <c r="H915" s="29"/>
      <c r="I915" s="29"/>
    </row>
    <row r="916" ht="14.25" customHeight="1">
      <c r="C916" s="29"/>
      <c r="D916" s="29"/>
      <c r="E916" s="29"/>
      <c r="F916" s="29"/>
      <c r="G916" s="29"/>
      <c r="H916" s="29"/>
      <c r="I916" s="29"/>
    </row>
    <row r="917" ht="14.25" customHeight="1">
      <c r="C917" s="29"/>
      <c r="D917" s="29"/>
      <c r="E917" s="29"/>
      <c r="F917" s="29"/>
      <c r="G917" s="29"/>
      <c r="H917" s="29"/>
      <c r="I917" s="29"/>
    </row>
    <row r="918" ht="14.25" customHeight="1">
      <c r="C918" s="29"/>
      <c r="D918" s="29"/>
      <c r="E918" s="29"/>
      <c r="F918" s="29"/>
      <c r="G918" s="29"/>
      <c r="H918" s="29"/>
      <c r="I918" s="29"/>
    </row>
    <row r="919" ht="14.25" customHeight="1">
      <c r="C919" s="29"/>
      <c r="D919" s="29"/>
      <c r="E919" s="29"/>
      <c r="F919" s="29"/>
      <c r="G919" s="29"/>
      <c r="H919" s="29"/>
      <c r="I919" s="29"/>
    </row>
    <row r="920" ht="14.25" customHeight="1">
      <c r="C920" s="29"/>
      <c r="D920" s="29"/>
      <c r="E920" s="29"/>
      <c r="F920" s="29"/>
      <c r="G920" s="29"/>
      <c r="H920" s="29"/>
      <c r="I920" s="29"/>
    </row>
    <row r="921" ht="14.25" customHeight="1">
      <c r="C921" s="29"/>
      <c r="D921" s="29"/>
      <c r="E921" s="29"/>
      <c r="F921" s="29"/>
      <c r="G921" s="29"/>
      <c r="H921" s="29"/>
      <c r="I921" s="29"/>
    </row>
    <row r="922" ht="14.25" customHeight="1">
      <c r="C922" s="29"/>
      <c r="D922" s="29"/>
      <c r="E922" s="29"/>
      <c r="F922" s="29"/>
      <c r="G922" s="29"/>
      <c r="H922" s="29"/>
      <c r="I922" s="29"/>
    </row>
    <row r="923" ht="14.25" customHeight="1">
      <c r="C923" s="29"/>
      <c r="D923" s="29"/>
      <c r="E923" s="29"/>
      <c r="F923" s="29"/>
      <c r="G923" s="29"/>
      <c r="H923" s="29"/>
      <c r="I923" s="29"/>
    </row>
    <row r="924" ht="14.25" customHeight="1">
      <c r="C924" s="29"/>
      <c r="D924" s="29"/>
      <c r="E924" s="29"/>
      <c r="F924" s="29"/>
      <c r="G924" s="29"/>
      <c r="H924" s="29"/>
      <c r="I924" s="29"/>
    </row>
    <row r="925" ht="14.25" customHeight="1">
      <c r="C925" s="29"/>
      <c r="D925" s="29"/>
      <c r="E925" s="29"/>
      <c r="F925" s="29"/>
      <c r="G925" s="29"/>
      <c r="H925" s="29"/>
      <c r="I925" s="29"/>
    </row>
    <row r="926" ht="14.25" customHeight="1">
      <c r="C926" s="29"/>
      <c r="D926" s="29"/>
      <c r="E926" s="29"/>
      <c r="F926" s="29"/>
      <c r="G926" s="29"/>
      <c r="H926" s="29"/>
      <c r="I926" s="29"/>
    </row>
    <row r="927" ht="14.25" customHeight="1">
      <c r="C927" s="29"/>
      <c r="D927" s="29"/>
      <c r="E927" s="29"/>
      <c r="F927" s="29"/>
      <c r="G927" s="29"/>
      <c r="H927" s="29"/>
      <c r="I927" s="29"/>
    </row>
    <row r="928" ht="14.25" customHeight="1">
      <c r="C928" s="29"/>
      <c r="D928" s="29"/>
      <c r="E928" s="29"/>
      <c r="F928" s="29"/>
      <c r="G928" s="29"/>
      <c r="H928" s="29"/>
      <c r="I928" s="29"/>
    </row>
    <row r="929" ht="14.25" customHeight="1">
      <c r="C929" s="29"/>
      <c r="D929" s="29"/>
      <c r="E929" s="29"/>
      <c r="F929" s="29"/>
      <c r="G929" s="29"/>
      <c r="H929" s="29"/>
      <c r="I929" s="29"/>
    </row>
    <row r="930" ht="14.25" customHeight="1">
      <c r="C930" s="29"/>
      <c r="D930" s="29"/>
      <c r="E930" s="29"/>
      <c r="F930" s="29"/>
      <c r="G930" s="29"/>
      <c r="H930" s="29"/>
      <c r="I930" s="29"/>
    </row>
    <row r="931" ht="14.25" customHeight="1">
      <c r="C931" s="29"/>
      <c r="D931" s="29"/>
      <c r="E931" s="29"/>
      <c r="F931" s="29"/>
      <c r="G931" s="29"/>
      <c r="H931" s="29"/>
      <c r="I931" s="29"/>
    </row>
    <row r="932" ht="14.25" customHeight="1">
      <c r="C932" s="29"/>
      <c r="D932" s="29"/>
      <c r="E932" s="29"/>
      <c r="F932" s="29"/>
      <c r="G932" s="29"/>
      <c r="H932" s="29"/>
      <c r="I932" s="29"/>
    </row>
    <row r="933" ht="14.25" customHeight="1">
      <c r="C933" s="29"/>
      <c r="D933" s="29"/>
      <c r="E933" s="29"/>
      <c r="F933" s="29"/>
      <c r="G933" s="29"/>
      <c r="H933" s="29"/>
      <c r="I933" s="29"/>
    </row>
    <row r="934" ht="14.25" customHeight="1">
      <c r="C934" s="29"/>
      <c r="D934" s="29"/>
      <c r="E934" s="29"/>
      <c r="F934" s="29"/>
      <c r="G934" s="29"/>
      <c r="H934" s="29"/>
      <c r="I934" s="29"/>
    </row>
    <row r="935" ht="14.25" customHeight="1">
      <c r="C935" s="29"/>
      <c r="D935" s="29"/>
      <c r="E935" s="29"/>
      <c r="F935" s="29"/>
      <c r="G935" s="29"/>
      <c r="H935" s="29"/>
      <c r="I935" s="29"/>
    </row>
    <row r="936" ht="14.25" customHeight="1">
      <c r="C936" s="29"/>
      <c r="D936" s="29"/>
      <c r="E936" s="29"/>
      <c r="F936" s="29"/>
      <c r="G936" s="29"/>
      <c r="H936" s="29"/>
      <c r="I936" s="29"/>
    </row>
    <row r="937" ht="14.25" customHeight="1">
      <c r="C937" s="29"/>
      <c r="D937" s="29"/>
      <c r="E937" s="29"/>
      <c r="F937" s="29"/>
      <c r="G937" s="29"/>
      <c r="H937" s="29"/>
      <c r="I937" s="29"/>
    </row>
    <row r="938" ht="14.25" customHeight="1">
      <c r="C938" s="29"/>
      <c r="D938" s="29"/>
      <c r="E938" s="29"/>
      <c r="F938" s="29"/>
      <c r="G938" s="29"/>
      <c r="H938" s="29"/>
      <c r="I938" s="29"/>
    </row>
    <row r="939" ht="14.25" customHeight="1">
      <c r="C939" s="29"/>
      <c r="D939" s="29"/>
      <c r="E939" s="29"/>
      <c r="F939" s="29"/>
      <c r="G939" s="29"/>
      <c r="H939" s="29"/>
      <c r="I939" s="29"/>
    </row>
    <row r="940" ht="14.25" customHeight="1">
      <c r="C940" s="29"/>
      <c r="D940" s="29"/>
      <c r="E940" s="29"/>
      <c r="F940" s="29"/>
      <c r="G940" s="29"/>
      <c r="H940" s="29"/>
      <c r="I940" s="29"/>
    </row>
    <row r="941" ht="14.25" customHeight="1">
      <c r="C941" s="29"/>
      <c r="D941" s="29"/>
      <c r="E941" s="29"/>
      <c r="F941" s="29"/>
      <c r="G941" s="29"/>
      <c r="H941" s="29"/>
      <c r="I941" s="29"/>
    </row>
    <row r="942" ht="14.25" customHeight="1">
      <c r="C942" s="29"/>
      <c r="D942" s="29"/>
      <c r="E942" s="29"/>
      <c r="F942" s="29"/>
      <c r="G942" s="29"/>
      <c r="H942" s="29"/>
      <c r="I942" s="29"/>
    </row>
    <row r="943" ht="14.25" customHeight="1">
      <c r="C943" s="29"/>
      <c r="D943" s="29"/>
      <c r="E943" s="29"/>
      <c r="F943" s="29"/>
      <c r="G943" s="29"/>
      <c r="H943" s="29"/>
      <c r="I943" s="29"/>
    </row>
    <row r="944" ht="14.25" customHeight="1">
      <c r="C944" s="29"/>
      <c r="D944" s="29"/>
      <c r="E944" s="29"/>
      <c r="F944" s="29"/>
      <c r="G944" s="29"/>
      <c r="H944" s="29"/>
      <c r="I944" s="29"/>
    </row>
    <row r="945" ht="14.25" customHeight="1">
      <c r="C945" s="29"/>
      <c r="D945" s="29"/>
      <c r="E945" s="29"/>
      <c r="F945" s="29"/>
      <c r="G945" s="29"/>
      <c r="H945" s="29"/>
      <c r="I945" s="29"/>
    </row>
    <row r="946" ht="14.25" customHeight="1">
      <c r="C946" s="29"/>
      <c r="D946" s="29"/>
      <c r="E946" s="29"/>
      <c r="F946" s="29"/>
      <c r="G946" s="29"/>
      <c r="H946" s="29"/>
      <c r="I946" s="29"/>
    </row>
    <row r="947" ht="14.25" customHeight="1">
      <c r="C947" s="29"/>
      <c r="D947" s="29"/>
      <c r="E947" s="29"/>
      <c r="F947" s="29"/>
      <c r="G947" s="29"/>
      <c r="H947" s="29"/>
      <c r="I947" s="29"/>
    </row>
    <row r="948" ht="14.25" customHeight="1">
      <c r="C948" s="29"/>
      <c r="D948" s="29"/>
      <c r="E948" s="29"/>
      <c r="F948" s="29"/>
      <c r="G948" s="29"/>
      <c r="H948" s="29"/>
      <c r="I948" s="29"/>
    </row>
    <row r="949" ht="14.25" customHeight="1">
      <c r="C949" s="29"/>
      <c r="D949" s="29"/>
      <c r="E949" s="29"/>
      <c r="F949" s="29"/>
      <c r="G949" s="29"/>
      <c r="H949" s="29"/>
      <c r="I949" s="29"/>
    </row>
    <row r="950" ht="14.25" customHeight="1">
      <c r="C950" s="29"/>
      <c r="D950" s="29"/>
      <c r="E950" s="29"/>
      <c r="F950" s="29"/>
      <c r="G950" s="29"/>
      <c r="H950" s="29"/>
      <c r="I950" s="29"/>
    </row>
    <row r="951" ht="14.25" customHeight="1">
      <c r="C951" s="29"/>
      <c r="D951" s="29"/>
      <c r="E951" s="29"/>
      <c r="F951" s="29"/>
      <c r="G951" s="29"/>
      <c r="H951" s="29"/>
      <c r="I951" s="29"/>
    </row>
    <row r="952" ht="14.25" customHeight="1">
      <c r="C952" s="29"/>
      <c r="D952" s="29"/>
      <c r="E952" s="29"/>
      <c r="F952" s="29"/>
      <c r="G952" s="29"/>
      <c r="H952" s="29"/>
      <c r="I952" s="29"/>
    </row>
    <row r="953" ht="14.25" customHeight="1">
      <c r="C953" s="29"/>
      <c r="D953" s="29"/>
      <c r="E953" s="29"/>
      <c r="F953" s="29"/>
      <c r="G953" s="29"/>
      <c r="H953" s="29"/>
      <c r="I953" s="29"/>
    </row>
    <row r="954" ht="14.25" customHeight="1">
      <c r="C954" s="29"/>
      <c r="D954" s="29"/>
      <c r="E954" s="29"/>
      <c r="F954" s="29"/>
      <c r="G954" s="29"/>
      <c r="H954" s="29"/>
      <c r="I954" s="29"/>
    </row>
    <row r="955" ht="14.25" customHeight="1">
      <c r="C955" s="29"/>
      <c r="D955" s="29"/>
      <c r="E955" s="29"/>
      <c r="F955" s="29"/>
      <c r="G955" s="29"/>
      <c r="H955" s="29"/>
      <c r="I955" s="29"/>
    </row>
    <row r="956" ht="14.25" customHeight="1">
      <c r="C956" s="29"/>
      <c r="D956" s="29"/>
      <c r="E956" s="29"/>
      <c r="F956" s="29"/>
      <c r="G956" s="29"/>
      <c r="H956" s="29"/>
      <c r="I956" s="29"/>
    </row>
    <row r="957" ht="14.25" customHeight="1">
      <c r="C957" s="29"/>
      <c r="D957" s="29"/>
      <c r="E957" s="29"/>
      <c r="F957" s="29"/>
      <c r="G957" s="29"/>
      <c r="H957" s="29"/>
      <c r="I957" s="29"/>
    </row>
    <row r="958" ht="14.25" customHeight="1">
      <c r="C958" s="29"/>
      <c r="D958" s="29"/>
      <c r="E958" s="29"/>
      <c r="F958" s="29"/>
      <c r="G958" s="29"/>
      <c r="H958" s="29"/>
      <c r="I958" s="29"/>
    </row>
    <row r="959" ht="14.25" customHeight="1">
      <c r="C959" s="29"/>
      <c r="D959" s="29"/>
      <c r="E959" s="29"/>
      <c r="F959" s="29"/>
      <c r="G959" s="29"/>
      <c r="H959" s="29"/>
      <c r="I959" s="29"/>
    </row>
    <row r="960" ht="14.25" customHeight="1">
      <c r="C960" s="29"/>
      <c r="D960" s="29"/>
      <c r="E960" s="29"/>
      <c r="F960" s="29"/>
      <c r="G960" s="29"/>
      <c r="H960" s="29"/>
      <c r="I960" s="29"/>
    </row>
    <row r="961" ht="14.25" customHeight="1">
      <c r="C961" s="29"/>
      <c r="D961" s="29"/>
      <c r="E961" s="29"/>
      <c r="F961" s="29"/>
      <c r="G961" s="29"/>
      <c r="H961" s="29"/>
      <c r="I961" s="29"/>
    </row>
    <row r="962" ht="14.25" customHeight="1">
      <c r="C962" s="29"/>
      <c r="D962" s="29"/>
      <c r="E962" s="29"/>
      <c r="F962" s="29"/>
      <c r="G962" s="29"/>
      <c r="H962" s="29"/>
      <c r="I962" s="29"/>
    </row>
    <row r="963" ht="14.25" customHeight="1">
      <c r="C963" s="29"/>
      <c r="D963" s="29"/>
      <c r="E963" s="29"/>
      <c r="F963" s="29"/>
      <c r="G963" s="29"/>
      <c r="H963" s="29"/>
      <c r="I963" s="29"/>
    </row>
    <row r="964" ht="14.25" customHeight="1">
      <c r="C964" s="29"/>
      <c r="D964" s="29"/>
      <c r="E964" s="29"/>
      <c r="F964" s="29"/>
      <c r="G964" s="29"/>
      <c r="H964" s="29"/>
      <c r="I964" s="29"/>
    </row>
    <row r="965" ht="14.25" customHeight="1">
      <c r="C965" s="29"/>
      <c r="D965" s="29"/>
      <c r="E965" s="29"/>
      <c r="F965" s="29"/>
      <c r="G965" s="29"/>
      <c r="H965" s="29"/>
      <c r="I965" s="29"/>
    </row>
    <row r="966" ht="14.25" customHeight="1">
      <c r="C966" s="29"/>
      <c r="D966" s="29"/>
      <c r="E966" s="29"/>
      <c r="F966" s="29"/>
      <c r="G966" s="29"/>
      <c r="H966" s="29"/>
      <c r="I966" s="29"/>
    </row>
    <row r="967" ht="14.25" customHeight="1">
      <c r="C967" s="29"/>
      <c r="D967" s="29"/>
      <c r="E967" s="29"/>
      <c r="F967" s="29"/>
      <c r="G967" s="29"/>
      <c r="H967" s="29"/>
      <c r="I967" s="29"/>
    </row>
    <row r="968" ht="14.25" customHeight="1">
      <c r="C968" s="29"/>
      <c r="D968" s="29"/>
      <c r="E968" s="29"/>
      <c r="F968" s="29"/>
      <c r="G968" s="29"/>
      <c r="H968" s="29"/>
      <c r="I968" s="29"/>
    </row>
    <row r="969" ht="14.25" customHeight="1">
      <c r="C969" s="29"/>
      <c r="D969" s="29"/>
      <c r="E969" s="29"/>
      <c r="F969" s="29"/>
      <c r="G969" s="29"/>
      <c r="H969" s="29"/>
      <c r="I969" s="29"/>
    </row>
    <row r="970" ht="14.25" customHeight="1">
      <c r="C970" s="29"/>
      <c r="D970" s="29"/>
      <c r="E970" s="29"/>
      <c r="F970" s="29"/>
      <c r="G970" s="29"/>
      <c r="H970" s="29"/>
      <c r="I970" s="29"/>
    </row>
    <row r="971" ht="14.25" customHeight="1">
      <c r="C971" s="29"/>
      <c r="D971" s="29"/>
      <c r="E971" s="29"/>
      <c r="F971" s="29"/>
      <c r="G971" s="29"/>
      <c r="H971" s="29"/>
      <c r="I971" s="29"/>
    </row>
    <row r="972" ht="14.25" customHeight="1">
      <c r="C972" s="29"/>
      <c r="D972" s="29"/>
      <c r="E972" s="29"/>
      <c r="F972" s="29"/>
      <c r="G972" s="29"/>
      <c r="H972" s="29"/>
      <c r="I972" s="29"/>
    </row>
    <row r="973" ht="14.25" customHeight="1">
      <c r="C973" s="29"/>
      <c r="D973" s="29"/>
      <c r="E973" s="29"/>
      <c r="F973" s="29"/>
      <c r="G973" s="29"/>
      <c r="H973" s="29"/>
      <c r="I973" s="29"/>
    </row>
    <row r="974" ht="14.25" customHeight="1">
      <c r="C974" s="29"/>
      <c r="D974" s="29"/>
      <c r="E974" s="29"/>
      <c r="F974" s="29"/>
      <c r="G974" s="29"/>
      <c r="H974" s="29"/>
      <c r="I974" s="29"/>
    </row>
    <row r="975" ht="14.25" customHeight="1">
      <c r="C975" s="29"/>
      <c r="D975" s="29"/>
      <c r="E975" s="29"/>
      <c r="F975" s="29"/>
      <c r="G975" s="29"/>
      <c r="H975" s="29"/>
      <c r="I975" s="29"/>
    </row>
    <row r="976" ht="14.25" customHeight="1">
      <c r="C976" s="29"/>
      <c r="D976" s="29"/>
      <c r="E976" s="29"/>
      <c r="F976" s="29"/>
      <c r="G976" s="29"/>
      <c r="H976" s="29"/>
      <c r="I976" s="29"/>
    </row>
    <row r="977" ht="14.25" customHeight="1">
      <c r="C977" s="29"/>
      <c r="D977" s="29"/>
      <c r="E977" s="29"/>
      <c r="F977" s="29"/>
      <c r="G977" s="29"/>
      <c r="H977" s="29"/>
      <c r="I977" s="29"/>
    </row>
    <row r="978" ht="14.25" customHeight="1">
      <c r="C978" s="29"/>
      <c r="D978" s="29"/>
      <c r="E978" s="29"/>
      <c r="F978" s="29"/>
      <c r="G978" s="29"/>
      <c r="H978" s="29"/>
      <c r="I978" s="29"/>
    </row>
    <row r="979" ht="14.25" customHeight="1">
      <c r="C979" s="29"/>
      <c r="D979" s="29"/>
      <c r="E979" s="29"/>
      <c r="F979" s="29"/>
      <c r="G979" s="29"/>
      <c r="H979" s="29"/>
      <c r="I979" s="29"/>
    </row>
    <row r="980" ht="14.25" customHeight="1">
      <c r="C980" s="29"/>
      <c r="D980" s="29"/>
      <c r="E980" s="29"/>
      <c r="F980" s="29"/>
      <c r="G980" s="29"/>
      <c r="H980" s="29"/>
      <c r="I980" s="29"/>
    </row>
    <row r="981" ht="14.25" customHeight="1">
      <c r="C981" s="29"/>
      <c r="D981" s="29"/>
      <c r="E981" s="29"/>
      <c r="F981" s="29"/>
      <c r="G981" s="29"/>
      <c r="H981" s="29"/>
      <c r="I981" s="29"/>
    </row>
    <row r="982" ht="14.25" customHeight="1">
      <c r="C982" s="29"/>
      <c r="D982" s="29"/>
      <c r="E982" s="29"/>
      <c r="F982" s="29"/>
      <c r="G982" s="29"/>
      <c r="H982" s="29"/>
      <c r="I982" s="29"/>
    </row>
    <row r="983" ht="14.25" customHeight="1">
      <c r="C983" s="29"/>
      <c r="D983" s="29"/>
      <c r="E983" s="29"/>
      <c r="F983" s="29"/>
      <c r="G983" s="29"/>
      <c r="H983" s="29"/>
      <c r="I983" s="29"/>
    </row>
    <row r="984" ht="14.25" customHeight="1">
      <c r="C984" s="29"/>
      <c r="D984" s="29"/>
      <c r="E984" s="29"/>
      <c r="F984" s="29"/>
      <c r="G984" s="29"/>
      <c r="H984" s="29"/>
      <c r="I984" s="29"/>
    </row>
    <row r="985" ht="14.25" customHeight="1">
      <c r="C985" s="29"/>
      <c r="D985" s="29"/>
      <c r="E985" s="29"/>
      <c r="F985" s="29"/>
      <c r="G985" s="29"/>
      <c r="H985" s="29"/>
      <c r="I985" s="29"/>
    </row>
    <row r="986" ht="14.25" customHeight="1">
      <c r="C986" s="29"/>
      <c r="D986" s="29"/>
      <c r="E986" s="29"/>
      <c r="F986" s="29"/>
      <c r="G986" s="29"/>
      <c r="H986" s="29"/>
      <c r="I986" s="29"/>
    </row>
    <row r="987" ht="14.25" customHeight="1">
      <c r="C987" s="29"/>
      <c r="D987" s="29"/>
      <c r="E987" s="29"/>
      <c r="F987" s="29"/>
      <c r="G987" s="29"/>
      <c r="H987" s="29"/>
      <c r="I987" s="29"/>
    </row>
    <row r="988" ht="14.25" customHeight="1">
      <c r="C988" s="29"/>
      <c r="D988" s="29"/>
      <c r="E988" s="29"/>
      <c r="F988" s="29"/>
      <c r="G988" s="29"/>
      <c r="H988" s="29"/>
      <c r="I988" s="29"/>
    </row>
    <row r="989" ht="14.25" customHeight="1">
      <c r="C989" s="29"/>
      <c r="D989" s="29"/>
      <c r="E989" s="29"/>
      <c r="F989" s="29"/>
      <c r="G989" s="29"/>
      <c r="H989" s="29"/>
      <c r="I989" s="29"/>
    </row>
    <row r="990" ht="14.25" customHeight="1">
      <c r="C990" s="29"/>
      <c r="D990" s="29"/>
      <c r="E990" s="29"/>
      <c r="F990" s="29"/>
      <c r="G990" s="29"/>
      <c r="H990" s="29"/>
      <c r="I990" s="29"/>
    </row>
    <row r="991" ht="14.25" customHeight="1">
      <c r="C991" s="29"/>
      <c r="D991" s="29"/>
      <c r="E991" s="29"/>
      <c r="F991" s="29"/>
      <c r="G991" s="29"/>
      <c r="H991" s="29"/>
      <c r="I991" s="29"/>
    </row>
    <row r="992" ht="14.25" customHeight="1">
      <c r="C992" s="29"/>
      <c r="D992" s="29"/>
      <c r="E992" s="29"/>
      <c r="F992" s="29"/>
      <c r="G992" s="29"/>
      <c r="H992" s="29"/>
      <c r="I992" s="29"/>
    </row>
    <row r="993" ht="14.25" customHeight="1">
      <c r="C993" s="29"/>
      <c r="D993" s="29"/>
      <c r="E993" s="29"/>
      <c r="F993" s="29"/>
      <c r="G993" s="29"/>
      <c r="H993" s="29"/>
      <c r="I993" s="29"/>
    </row>
    <row r="994" ht="14.25" customHeight="1">
      <c r="C994" s="29"/>
      <c r="D994" s="29"/>
      <c r="E994" s="29"/>
      <c r="F994" s="29"/>
      <c r="G994" s="29"/>
      <c r="H994" s="29"/>
      <c r="I994" s="29"/>
    </row>
    <row r="995" ht="14.25" customHeight="1">
      <c r="C995" s="29"/>
      <c r="D995" s="29"/>
      <c r="E995" s="29"/>
      <c r="F995" s="29"/>
      <c r="G995" s="29"/>
      <c r="H995" s="29"/>
      <c r="I995" s="29"/>
    </row>
    <row r="996" ht="14.25" customHeight="1">
      <c r="C996" s="29"/>
      <c r="D996" s="29"/>
      <c r="E996" s="29"/>
      <c r="F996" s="29"/>
      <c r="G996" s="29"/>
      <c r="H996" s="29"/>
      <c r="I996" s="29"/>
    </row>
    <row r="997" ht="14.25" customHeight="1">
      <c r="C997" s="29"/>
      <c r="D997" s="29"/>
      <c r="E997" s="29"/>
      <c r="F997" s="29"/>
      <c r="G997" s="29"/>
      <c r="H997" s="29"/>
      <c r="I997" s="29"/>
    </row>
    <row r="998" ht="14.25" customHeight="1">
      <c r="C998" s="29"/>
      <c r="D998" s="29"/>
      <c r="E998" s="29"/>
      <c r="F998" s="29"/>
      <c r="G998" s="29"/>
      <c r="H998" s="29"/>
      <c r="I998" s="29"/>
    </row>
    <row r="999" ht="14.25" customHeight="1">
      <c r="C999" s="29"/>
      <c r="D999" s="29"/>
      <c r="E999" s="29"/>
      <c r="F999" s="29"/>
      <c r="G999" s="29"/>
      <c r="H999" s="29"/>
      <c r="I999" s="29"/>
    </row>
    <row r="1000" ht="14.25" customHeight="1">
      <c r="C1000" s="29"/>
      <c r="D1000" s="29"/>
      <c r="E1000" s="29"/>
      <c r="F1000" s="29"/>
      <c r="G1000" s="29"/>
      <c r="H1000" s="29"/>
      <c r="I1000" s="2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2024-07-23T18:34:44Z</dcterms:created>
  <dc:creator>Donna Odra</dc:creator>
</cp:coreProperties>
</file>